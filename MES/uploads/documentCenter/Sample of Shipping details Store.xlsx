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naphat-noo\Downloads\"/>
    </mc:Choice>
  </mc:AlternateContent>
  <xr:revisionPtr revIDLastSave="0" documentId="13_ncr:1_{F68F26E6-107A-4572-9E00-F2356E4B6AC9}" xr6:coauthVersionLast="47" xr6:coauthVersionMax="47" xr10:uidLastSave="{00000000-0000-0000-0000-000000000000}"/>
  <bookViews>
    <workbookView xWindow="-120" yWindow="-120" windowWidth="29040" windowHeight="15720" tabRatio="825" xr2:uid="{00000000-000D-0000-FFFF-FFFF00000000}"/>
  </bookViews>
  <sheets>
    <sheet name="Sample" sheetId="48" r:id="rId1"/>
    <sheet name="CAAU2728139" sheetId="36" r:id="rId2"/>
    <sheet name="SITU2748473" sheetId="42" r:id="rId3"/>
    <sheet name="FTAU2289628" sheetId="43" r:id="rId4"/>
    <sheet name="HPCU2855063" sheetId="45" r:id="rId5"/>
    <sheet name="TIIU2238348" sheetId="44" r:id="rId6"/>
    <sheet name="SITU2474182" sheetId="46" r:id="rId7"/>
    <sheet name="BEAU2716100" sheetId="47" r:id="rId8"/>
    <sheet name="Sheet6" sheetId="41" state="hidden" r:id="rId9"/>
    <sheet name="Sheet4" sheetId="40" state="hidden" r:id="rId10"/>
    <sheet name="Sheet5" sheetId="39" state="hidden" r:id="rId11"/>
    <sheet name="Sheet2" sheetId="37" state="hidden" r:id="rId12"/>
    <sheet name="Sheet3" sheetId="35" state="hidden" r:id="rId13"/>
    <sheet name="Sheet1" sheetId="33" state="hidden" r:id="rId14"/>
  </sheets>
  <definedNames>
    <definedName name="_xlnm._FilterDatabase" localSheetId="1" hidden="1">CAAU2728139!$D$4:$K$17</definedName>
  </definedNames>
  <calcPr calcId="191029"/>
  <pivotCaches>
    <pivotCache cacheId="0" r:id="rId15"/>
    <pivotCache cacheId="1" r:id="rId16"/>
    <pivotCache cacheId="2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37" l="1"/>
  <c r="C73" i="37"/>
  <c r="K16" i="47"/>
  <c r="J16" i="47"/>
  <c r="I14" i="47"/>
  <c r="K13" i="47"/>
  <c r="I13" i="47"/>
  <c r="I12" i="47"/>
  <c r="K11" i="47"/>
  <c r="I11" i="47"/>
  <c r="I10" i="47"/>
  <c r="I9" i="47"/>
  <c r="I8" i="47"/>
  <c r="I7" i="47"/>
  <c r="I6" i="47"/>
  <c r="I5" i="47"/>
  <c r="K13" i="46"/>
  <c r="J13" i="46"/>
  <c r="I11" i="46"/>
  <c r="I10" i="46"/>
  <c r="K9" i="46"/>
  <c r="I9" i="46"/>
  <c r="I8" i="46"/>
  <c r="K7" i="46"/>
  <c r="I7" i="46"/>
  <c r="K6" i="46"/>
  <c r="I6" i="46"/>
  <c r="I5" i="46"/>
  <c r="K12" i="44"/>
  <c r="J12" i="44"/>
  <c r="I10" i="44"/>
  <c r="I9" i="44"/>
  <c r="K8" i="44"/>
  <c r="I8" i="44"/>
  <c r="I7" i="44"/>
  <c r="I6" i="44"/>
  <c r="I5" i="44"/>
  <c r="K14" i="45"/>
  <c r="J14" i="45"/>
  <c r="I12" i="45"/>
  <c r="I11" i="45"/>
  <c r="K10" i="45"/>
  <c r="I10" i="45"/>
  <c r="I9" i="45"/>
  <c r="I8" i="45"/>
  <c r="I7" i="45"/>
  <c r="I6" i="45"/>
  <c r="I5" i="45"/>
  <c r="K15" i="43"/>
  <c r="J15" i="43"/>
  <c r="K13" i="43"/>
  <c r="I13" i="43"/>
  <c r="I12" i="43"/>
  <c r="K11" i="43"/>
  <c r="I11" i="43"/>
  <c r="I10" i="43"/>
  <c r="I9" i="43"/>
  <c r="I8" i="43"/>
  <c r="K7" i="43"/>
  <c r="I7" i="43"/>
  <c r="I6" i="43"/>
  <c r="K5" i="43"/>
  <c r="I5" i="43"/>
  <c r="K12" i="36"/>
  <c r="J12" i="36"/>
  <c r="I10" i="36"/>
  <c r="I9" i="36"/>
  <c r="I8" i="36"/>
  <c r="I7" i="36"/>
  <c r="I6" i="36"/>
  <c r="I5" i="36"/>
  <c r="K19" i="42"/>
  <c r="J19" i="42"/>
  <c r="I17" i="42"/>
  <c r="I16" i="42"/>
  <c r="K15" i="42"/>
  <c r="I15" i="42"/>
  <c r="K14" i="42"/>
  <c r="I14" i="42"/>
  <c r="I13" i="42"/>
  <c r="I12" i="42"/>
  <c r="I11" i="42"/>
  <c r="I10" i="42"/>
  <c r="I9" i="42"/>
  <c r="I8" i="42"/>
  <c r="I7" i="42"/>
  <c r="I6" i="42"/>
  <c r="K5" i="42"/>
  <c r="I5" i="42"/>
</calcChain>
</file>

<file path=xl/sharedStrings.xml><?xml version="1.0" encoding="utf-8"?>
<sst xmlns="http://schemas.openxmlformats.org/spreadsheetml/2006/main" count="993" uniqueCount="281">
  <si>
    <t>Shipping Details</t>
  </si>
  <si>
    <t xml:space="preserve">以下由工厂填写，注****的为必填项.  </t>
  </si>
  <si>
    <t>序号 NO.</t>
  </si>
  <si>
    <t xml:space="preserve">出运日期 Date of shipment </t>
  </si>
  <si>
    <t xml:space="preserve">进仓编号 Warehouse Number  </t>
  </si>
  <si>
    <t>合同编号 Purchase order number</t>
  </si>
  <si>
    <t>货号 Item No.</t>
  </si>
  <si>
    <t>英文名称</t>
  </si>
  <si>
    <t>名称</t>
  </si>
  <si>
    <t>规格</t>
  </si>
  <si>
    <t xml:space="preserve">每箱 数量 Carton/Pallet
per  QTY    </t>
  </si>
  <si>
    <t xml:space="preserve">件数 Package QTY </t>
  </si>
  <si>
    <t xml:space="preserve">送货数量 Delivery QTY </t>
  </si>
  <si>
    <t>托号：
Pallet/CartonNO.</t>
  </si>
  <si>
    <t xml:space="preserve">备注 Remark </t>
  </si>
  <si>
    <t>****</t>
  </si>
  <si>
    <t>SKJ260218-1</t>
  </si>
  <si>
    <t>SNC-P002596_L</t>
  </si>
  <si>
    <t>PLATE</t>
  </si>
  <si>
    <t>抽斗1*1243*521MM</t>
  </si>
  <si>
    <t>1*1243*521MM</t>
  </si>
  <si>
    <t>pallet#01-04</t>
  </si>
  <si>
    <t>pallet#05</t>
  </si>
  <si>
    <t>SNC-P002627_L</t>
  </si>
  <si>
    <t>右侧板1.2*894.5*648MM</t>
  </si>
  <si>
    <t>1.2*894.5*648MM</t>
  </si>
  <si>
    <t>pallet#06-08</t>
  </si>
  <si>
    <t>pallet#09</t>
  </si>
  <si>
    <t>SNC-P002659_L</t>
  </si>
  <si>
    <t>抽屉拉手1.2*365*335MM</t>
  </si>
  <si>
    <t>1.2*365*335MM</t>
  </si>
  <si>
    <t>pallet#10</t>
  </si>
  <si>
    <t>pallet#11</t>
  </si>
  <si>
    <t>CAAU2728139</t>
  </si>
  <si>
    <t>汇总</t>
  </si>
  <si>
    <t>收货日期 Date of receipt:</t>
  </si>
  <si>
    <t>日期 Date :</t>
  </si>
  <si>
    <t>实收总件数:</t>
  </si>
  <si>
    <t xml:space="preserve"> 车牌号 Number Plate：</t>
  </si>
  <si>
    <t>Actual Package QTY:</t>
  </si>
  <si>
    <t>注意：1, 送货单请正确的填写完整，带****的地方务必填写清楚，并由仓库签收。Please fill in the delivery note correctly, and the place with **** must be filled out clearly and signed by the warehouse.</t>
  </si>
  <si>
    <t>SKJ260218-2</t>
  </si>
  <si>
    <t>SNC-P002635_L</t>
  </si>
  <si>
    <t>左内垫板1*776*580MM</t>
  </si>
  <si>
    <t>1*776*580MM</t>
  </si>
  <si>
    <t>pallet#01-02</t>
  </si>
  <si>
    <t>pallet#03</t>
  </si>
  <si>
    <t>pallet#04</t>
  </si>
  <si>
    <t>SNC-P002639_L</t>
  </si>
  <si>
    <t>抽屉后盖板1*1322*129MM</t>
  </si>
  <si>
    <t>1*1322*129MM</t>
  </si>
  <si>
    <t>pallet#06</t>
  </si>
  <si>
    <t>pallet#07</t>
  </si>
  <si>
    <t>SITU2783453</t>
  </si>
  <si>
    <t>pallet#08</t>
  </si>
  <si>
    <t>SNC-P002642_L</t>
  </si>
  <si>
    <t>抽屉后盖板1*1322*72MM</t>
  </si>
  <si>
    <t>1*1322*72MM</t>
  </si>
  <si>
    <t>SNC-P002641_L</t>
  </si>
  <si>
    <t>抽斗1*1578*521MM</t>
  </si>
  <si>
    <t>1*1578*521MM</t>
  </si>
  <si>
    <t>pallet#10-12</t>
  </si>
  <si>
    <t>pallet#13-14</t>
  </si>
  <si>
    <t>pallet#15</t>
  </si>
  <si>
    <t>SNC-P002592_L</t>
  </si>
  <si>
    <t>抽屉拉手1.2*969*103MM</t>
  </si>
  <si>
    <t>1.2*969*103MM</t>
  </si>
  <si>
    <t>pallet#16</t>
  </si>
  <si>
    <t>SITU2748473</t>
  </si>
  <si>
    <t>SKJ260218-3</t>
  </si>
  <si>
    <t>SNC-P002622</t>
  </si>
  <si>
    <t>后排锁座1*755*103MM</t>
  </si>
  <si>
    <t>1*755*103MM</t>
  </si>
  <si>
    <t>pallet#01-03</t>
  </si>
  <si>
    <t>SNC-P002634</t>
  </si>
  <si>
    <t>中隔板后加强1*504*72MM</t>
  </si>
  <si>
    <t>1*504*72MM</t>
  </si>
  <si>
    <t>SNC-P002636</t>
  </si>
  <si>
    <t>内垫板加强1*726*77MM</t>
  </si>
  <si>
    <t>1*726*77MM</t>
  </si>
  <si>
    <t>pallet#05-06</t>
  </si>
  <si>
    <t>SNC-P003222</t>
  </si>
  <si>
    <t>中隔板前加强1*504*52MM</t>
  </si>
  <si>
    <t>1*504*52MM</t>
  </si>
  <si>
    <t>SNC-P003223</t>
  </si>
  <si>
    <t>内垫板上加强1*227*70MM</t>
  </si>
  <si>
    <t>1*227*70MM</t>
  </si>
  <si>
    <t>SNC-P003224</t>
  </si>
  <si>
    <t>内垫板下加强1*503*70MM</t>
  </si>
  <si>
    <t>1*503*70MM</t>
  </si>
  <si>
    <t>SNC-P002618</t>
  </si>
  <si>
    <t>横向底盖加强2.5*1434*71MM</t>
  </si>
  <si>
    <t>2.5*1434*71MM</t>
  </si>
  <si>
    <t>pallet#10-14</t>
  </si>
  <si>
    <t>SNC-P002624</t>
  </si>
  <si>
    <t>中隔板限位1*532*36MM</t>
  </si>
  <si>
    <t>1*532*36MM</t>
  </si>
  <si>
    <t>SNC-P002629</t>
  </si>
  <si>
    <t>顶盖加强0.7*1279*141MM</t>
  </si>
  <si>
    <t>0.7*1279*141MM</t>
  </si>
  <si>
    <t>pallet#16-17</t>
  </si>
  <si>
    <t>FTAU2289628</t>
  </si>
  <si>
    <t>SKJ260218-4</t>
  </si>
  <si>
    <t>SNC-P002660_L</t>
  </si>
  <si>
    <t>抽斗1*975*521MM</t>
  </si>
  <si>
    <t>1*975*521MM</t>
  </si>
  <si>
    <t>pallet#01</t>
  </si>
  <si>
    <t>pallet#02</t>
  </si>
  <si>
    <t>SNC-P002628_L</t>
  </si>
  <si>
    <t>顶盖1.2*1480*649MM</t>
  </si>
  <si>
    <t>1.2*1480*649MM</t>
  </si>
  <si>
    <t>pallet#06-11</t>
  </si>
  <si>
    <t>pallet#12</t>
  </si>
  <si>
    <t>pallet#13</t>
  </si>
  <si>
    <t>HPCU2855063</t>
  </si>
  <si>
    <t>SKJ260218-5</t>
  </si>
  <si>
    <t>SNC-P002617_L</t>
  </si>
  <si>
    <t>底盖1.2*1544.5*672MM</t>
  </si>
  <si>
    <t>1.2*1544.5*672MM</t>
  </si>
  <si>
    <t>pallet#04-10</t>
  </si>
  <si>
    <t>SNC-P002633_L</t>
  </si>
  <si>
    <t>右中隔板1*574*504MM</t>
  </si>
  <si>
    <t>1*574*504MM</t>
  </si>
  <si>
    <t>SNC-P002657_L</t>
  </si>
  <si>
    <t>抽斗1*609*521MM</t>
  </si>
  <si>
    <t>1*609*521MM</t>
  </si>
  <si>
    <t>TIIU2238348</t>
  </si>
  <si>
    <t>SKJ260218-6</t>
  </si>
  <si>
    <t>SNC-P002583_L</t>
  </si>
  <si>
    <t>平衡杆，镀锌板1*893*38MM</t>
  </si>
  <si>
    <t>1*893*38MM</t>
  </si>
  <si>
    <t>SNC-P002625_L</t>
  </si>
  <si>
    <t>左侧板1.2*894.5*648MM</t>
  </si>
  <si>
    <t>pallet#02-05</t>
  </si>
  <si>
    <t>pallet#06-09</t>
  </si>
  <si>
    <t>pallet#11-14</t>
  </si>
  <si>
    <t>SNC-P002646_L</t>
  </si>
  <si>
    <t>抽屉后盖板1*943*72MM</t>
  </si>
  <si>
    <t>1*943*72MM</t>
  </si>
  <si>
    <t>SITU2474182</t>
  </si>
  <si>
    <t>SKJ260218-7</t>
  </si>
  <si>
    <t>SNC-P002632_L</t>
  </si>
  <si>
    <t>左中隔板1*643.5*560MM</t>
  </si>
  <si>
    <t>1*643.5*560MM</t>
  </si>
  <si>
    <t>SNC-P002637_L</t>
  </si>
  <si>
    <t>右内垫板1*776*580MM</t>
  </si>
  <si>
    <t>pallet#07-09</t>
  </si>
  <si>
    <t>SNC-P002645_L</t>
  </si>
  <si>
    <t>抽屉加强1.2*1322*141MM</t>
  </si>
  <si>
    <t>1.2*1322*141MM</t>
  </si>
  <si>
    <t>SNC-P002808_L</t>
  </si>
  <si>
    <t>线链限位1*450*117MM</t>
  </si>
  <si>
    <t>1*450*117MM</t>
  </si>
  <si>
    <t>BEAU2716100</t>
  </si>
  <si>
    <t>行标签</t>
  </si>
  <si>
    <t>求和项:件数</t>
  </si>
  <si>
    <t>SNC-P002569_L</t>
  </si>
  <si>
    <t>SNC-P002572_L</t>
  </si>
  <si>
    <t>SNC-P002574_L</t>
  </si>
  <si>
    <t>SNC-P002575_L</t>
  </si>
  <si>
    <t>SNC-P002577_L</t>
  </si>
  <si>
    <t>SNC-P002589_L</t>
  </si>
  <si>
    <t>SNC-P002590_L</t>
  </si>
  <si>
    <t>SNC-P002600_L</t>
  </si>
  <si>
    <t>SNC-P002623_L</t>
  </si>
  <si>
    <t>SNC-P002626_L</t>
  </si>
  <si>
    <t>SNC-P002631_L</t>
  </si>
  <si>
    <t>SNC-P002638_L</t>
  </si>
  <si>
    <t>SNC-P002654_L</t>
  </si>
  <si>
    <t>SNC-PM06010100</t>
  </si>
  <si>
    <t>总计</t>
  </si>
  <si>
    <t>货号</t>
  </si>
  <si>
    <t>件数</t>
  </si>
  <si>
    <t>SNC-EC99000300</t>
  </si>
  <si>
    <t>SNC-P000457</t>
  </si>
  <si>
    <t>SNC-P000458</t>
  </si>
  <si>
    <t>SNC-P000492</t>
  </si>
  <si>
    <t>SNC-P000538</t>
  </si>
  <si>
    <t>SNC-P000690</t>
  </si>
  <si>
    <t>SNC-P000936</t>
  </si>
  <si>
    <t>SNC-P001105</t>
  </si>
  <si>
    <t>SNC-P001106</t>
  </si>
  <si>
    <t>SNC-P001273</t>
  </si>
  <si>
    <t>SNC-P001274</t>
  </si>
  <si>
    <t>SNC-P002407</t>
  </si>
  <si>
    <t>SNC-P002520</t>
  </si>
  <si>
    <t>SNC-P002571</t>
  </si>
  <si>
    <t>SNC-P002573</t>
  </si>
  <si>
    <t>SNC-P002584</t>
  </si>
  <si>
    <t>SNC-P002588</t>
  </si>
  <si>
    <t>SNC-P002591</t>
  </si>
  <si>
    <t>SNC-P002604</t>
  </si>
  <si>
    <t>SNC-P002605</t>
  </si>
  <si>
    <t>SNC-P002607</t>
  </si>
  <si>
    <t>SNC-P002610</t>
  </si>
  <si>
    <t>SNC-P002611</t>
  </si>
  <si>
    <t>SNC-P002613</t>
  </si>
  <si>
    <t>SNC-P002614</t>
  </si>
  <si>
    <t>SNC-P002619</t>
  </si>
  <si>
    <t>SNC-P002620</t>
  </si>
  <si>
    <t>SNC-P002661</t>
  </si>
  <si>
    <t>SNC-P002662</t>
  </si>
  <si>
    <t>SNC-P002664</t>
  </si>
  <si>
    <t>SNC-P002665</t>
  </si>
  <si>
    <t>SNC-P002666</t>
  </si>
  <si>
    <t>SNC-P002667</t>
  </si>
  <si>
    <t>SNC-P002669</t>
  </si>
  <si>
    <t>SNC-P002670</t>
  </si>
  <si>
    <t>SNC-P002671</t>
  </si>
  <si>
    <t>SNC-P002672</t>
  </si>
  <si>
    <t>SNC-P002694</t>
  </si>
  <si>
    <t>SNC-P002727</t>
  </si>
  <si>
    <t>SNC-P002761</t>
  </si>
  <si>
    <t>SNC-P002762</t>
  </si>
  <si>
    <t>SNC-P002763</t>
  </si>
  <si>
    <t>SNC-P002829</t>
  </si>
  <si>
    <t>SNC-P002830</t>
  </si>
  <si>
    <t>SNC-P002936</t>
  </si>
  <si>
    <t>SNC-P002937</t>
  </si>
  <si>
    <t>SNC-P002939</t>
  </si>
  <si>
    <t>SNC-P002956</t>
  </si>
  <si>
    <t>SNC-P002957</t>
  </si>
  <si>
    <t>SNC-P002958</t>
  </si>
  <si>
    <t>SNC-P002960</t>
  </si>
  <si>
    <t>SNC-P003300</t>
  </si>
  <si>
    <t>SNC-P003455</t>
  </si>
  <si>
    <t>SNC-P003490</t>
  </si>
  <si>
    <t>SNC-P003602</t>
  </si>
  <si>
    <t>SNC-P003603</t>
  </si>
  <si>
    <t>SNC-P003604</t>
  </si>
  <si>
    <t>SNC-P003609</t>
  </si>
  <si>
    <t>SNC-P002471</t>
  </si>
  <si>
    <t>SNC-P002473</t>
  </si>
  <si>
    <t>SNC-P002474</t>
  </si>
  <si>
    <t>SNC-P002502</t>
  </si>
  <si>
    <t>SNC-P002616</t>
  </si>
  <si>
    <t>SNC-P002896</t>
  </si>
  <si>
    <t>SNC-P003320</t>
  </si>
  <si>
    <t>SNC-PM03019000</t>
  </si>
  <si>
    <t>SNC-PM03019100</t>
  </si>
  <si>
    <t>SNC-PM03019200</t>
  </si>
  <si>
    <t>SNC-PM03019300</t>
  </si>
  <si>
    <t>SNC-PM03019400</t>
  </si>
  <si>
    <t>SNC-PM03019500</t>
  </si>
  <si>
    <t>SNC-PM03025700</t>
  </si>
  <si>
    <t>SNC-PM04001100</t>
  </si>
  <si>
    <t>SNC-PM04009500</t>
  </si>
  <si>
    <t>SNC-PM04009700</t>
  </si>
  <si>
    <t>SNC-PM04012100</t>
  </si>
  <si>
    <t>SNC-PM04014800</t>
  </si>
  <si>
    <t>SNC-PM04015600</t>
  </si>
  <si>
    <t>SNC-PM05022700</t>
  </si>
  <si>
    <t>SNC-PM05024200</t>
  </si>
  <si>
    <t>SNC-PM05028000</t>
  </si>
  <si>
    <t>SNC-PM05028100</t>
  </si>
  <si>
    <t>SNC-PM08042000</t>
  </si>
  <si>
    <t>SNC-PM08043900</t>
  </si>
  <si>
    <t>SNC-PM08044000</t>
  </si>
  <si>
    <t>SNC-PM08046100</t>
  </si>
  <si>
    <t>SNC-PM08046300</t>
  </si>
  <si>
    <t>SNC-PM08047600</t>
  </si>
  <si>
    <t>SNC-PM08047700</t>
  </si>
  <si>
    <t>SNC-PM08052600</t>
  </si>
  <si>
    <t>SNC-PM08054100</t>
  </si>
  <si>
    <t>SNC-PM08054500</t>
  </si>
  <si>
    <t>Received date</t>
  </si>
  <si>
    <t xml:space="preserve">Warehouse Number  </t>
  </si>
  <si>
    <t>Des.1</t>
  </si>
  <si>
    <t>Des.</t>
  </si>
  <si>
    <t>Carton/Pallet</t>
  </si>
  <si>
    <t xml:space="preserve">per  QTY    </t>
  </si>
  <si>
    <t xml:space="preserve"> Package QTY </t>
  </si>
  <si>
    <t xml:space="preserve"> Delivery QTY </t>
  </si>
  <si>
    <t>Pallet/CartonNO.</t>
  </si>
  <si>
    <t>CTN Number</t>
  </si>
  <si>
    <t>Week</t>
  </si>
  <si>
    <t>กรอก</t>
  </si>
  <si>
    <t xml:space="preserve">Show บน Tag </t>
  </si>
  <si>
    <t>Y</t>
  </si>
  <si>
    <t>N</t>
  </si>
  <si>
    <t xml:space="preserve">จำนวน Tag ที่อยากให้ออกมา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</si>
</sst>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yyyy/m/d;@"/>
  </numFmts>
  <fonts count="20">
    <font>
      <sz val="12"/>
      <name val="宋体"/>
      <charset val="134"/>
    </font>
    <font>
      <sz val="12"/>
      <name val="等线"/>
      <charset val="134"/>
    </font>
    <font>
      <sz val="11"/>
      <color theme="1"/>
      <name val="等线"/>
      <charset val="134"/>
    </font>
    <font>
      <sz val="12"/>
      <color theme="1"/>
      <name val="等线"/>
      <charset val="134"/>
    </font>
    <font>
      <sz val="14"/>
      <color theme="1"/>
      <name val="等线"/>
      <charset val="134"/>
    </font>
    <font>
      <sz val="12"/>
      <color rgb="FFFF0000"/>
      <name val="宋体"/>
      <charset val="134"/>
    </font>
    <font>
      <sz val="14"/>
      <name val="等线"/>
      <charset val="134"/>
    </font>
    <font>
      <sz val="14"/>
      <color indexed="8"/>
      <name val="微软雅黑"/>
      <charset val="134"/>
    </font>
    <font>
      <b/>
      <sz val="28"/>
      <name val="等线"/>
      <charset val="134"/>
    </font>
    <font>
      <b/>
      <sz val="14"/>
      <name val="等线"/>
      <charset val="134"/>
    </font>
    <font>
      <b/>
      <sz val="30"/>
      <color theme="1"/>
      <name val="等线"/>
      <charset val="134"/>
    </font>
    <font>
      <sz val="14"/>
      <name val="宋体"/>
      <charset val="134"/>
    </font>
    <font>
      <sz val="14"/>
      <name val="Tahoma"/>
      <charset val="134"/>
    </font>
    <font>
      <sz val="14"/>
      <name val="黑体"/>
      <charset val="134"/>
    </font>
    <font>
      <sz val="14"/>
      <color indexed="8"/>
      <name val="等线"/>
      <charset val="134"/>
    </font>
    <font>
      <sz val="9"/>
      <color rgb="FF000000"/>
      <name val="SimSun"/>
      <charset val="134"/>
    </font>
    <font>
      <b/>
      <sz val="12"/>
      <name val="宋体"/>
      <charset val="134"/>
    </font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2"/>
      <name val="宋体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CD5B4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0">
    <xf numFmtId="0" fontId="0" fillId="0" borderId="0">
      <alignment vertical="center"/>
    </xf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>
      <alignment vertical="center"/>
    </xf>
    <xf numFmtId="164" fontId="4" fillId="2" borderId="2" xfId="0" applyNumberFormat="1" applyFont="1" applyFill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3" borderId="0" xfId="0" applyNumberFormat="1" applyFill="1">
      <alignment vertical="center"/>
    </xf>
    <xf numFmtId="164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" fillId="2" borderId="3" xfId="80" applyFont="1" applyFill="1" applyBorder="1" applyAlignment="1">
      <alignment horizontal="center" vertical="center"/>
    </xf>
    <xf numFmtId="0" fontId="2" fillId="2" borderId="3" xfId="53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8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2" borderId="6" xfId="80" applyFont="1" applyFill="1" applyBorder="1" applyAlignment="1">
      <alignment horizontal="center" vertical="center"/>
    </xf>
    <xf numFmtId="0" fontId="2" fillId="2" borderId="1" xfId="8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10" xfId="0" applyFont="1" applyFill="1" applyBorder="1" applyAlignment="1">
      <alignment horizontal="center" vertical="center"/>
    </xf>
    <xf numFmtId="165" fontId="11" fillId="2" borderId="10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1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vertical="center" wrapText="1"/>
    </xf>
    <xf numFmtId="0" fontId="16" fillId="0" borderId="0" xfId="0" applyFont="1">
      <alignment vertical="center"/>
    </xf>
    <xf numFmtId="0" fontId="4" fillId="2" borderId="1" xfId="80" quotePrefix="1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19" fontId="4" fillId="3" borderId="5" xfId="8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10" fillId="3" borderId="4" xfId="53" applyFont="1" applyFill="1" applyBorder="1" applyAlignment="1">
      <alignment horizontal="center" vertical="center"/>
    </xf>
    <xf numFmtId="0" fontId="10" fillId="3" borderId="5" xfId="53" applyFont="1" applyFill="1" applyBorder="1" applyAlignment="1">
      <alignment horizontal="center" vertical="center"/>
    </xf>
    <xf numFmtId="0" fontId="10" fillId="3" borderId="6" xfId="53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14" fontId="4" fillId="3" borderId="4" xfId="80" applyNumberFormat="1" applyFont="1" applyFill="1" applyBorder="1" applyAlignment="1">
      <alignment horizontal="center" vertical="center"/>
    </xf>
    <xf numFmtId="0" fontId="4" fillId="3" borderId="5" xfId="8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</cellXfs>
  <cellStyles count="100">
    <cellStyle name="0,0_x000d__x000a_NA_x000d__x000a_" xfId="1" xr:uid="{00000000-0005-0000-0000-000031000000}"/>
    <cellStyle name="Normal" xfId="0" builtinId="0"/>
    <cellStyle name="Normal 10" xfId="2" xr:uid="{00000000-0005-0000-0000-000032000000}"/>
    <cellStyle name="Normal 10 2" xfId="3" xr:uid="{00000000-0005-0000-0000-000033000000}"/>
    <cellStyle name="Normal 11" xfId="4" xr:uid="{00000000-0005-0000-0000-000034000000}"/>
    <cellStyle name="Normal 11 2" xfId="5" xr:uid="{00000000-0005-0000-0000-000035000000}"/>
    <cellStyle name="Normal 12" xfId="6" xr:uid="{00000000-0005-0000-0000-000036000000}"/>
    <cellStyle name="Normal 12 2" xfId="7" xr:uid="{00000000-0005-0000-0000-000037000000}"/>
    <cellStyle name="Normal 13" xfId="8" xr:uid="{00000000-0005-0000-0000-000038000000}"/>
    <cellStyle name="Normal 13 2" xfId="9" xr:uid="{00000000-0005-0000-0000-000039000000}"/>
    <cellStyle name="Normal 14" xfId="10" xr:uid="{00000000-0005-0000-0000-00003A000000}"/>
    <cellStyle name="Normal 14 2" xfId="11" xr:uid="{00000000-0005-0000-0000-00003B000000}"/>
    <cellStyle name="Normal 15" xfId="12" xr:uid="{00000000-0005-0000-0000-00003C000000}"/>
    <cellStyle name="Normal 15 2" xfId="13" xr:uid="{00000000-0005-0000-0000-00003D000000}"/>
    <cellStyle name="Normal 16" xfId="14" xr:uid="{00000000-0005-0000-0000-00003E000000}"/>
    <cellStyle name="Normal 16 2" xfId="15" xr:uid="{00000000-0005-0000-0000-00003F000000}"/>
    <cellStyle name="Normal 17" xfId="16" xr:uid="{00000000-0005-0000-0000-000040000000}"/>
    <cellStyle name="Normal 17 2" xfId="17" xr:uid="{00000000-0005-0000-0000-000041000000}"/>
    <cellStyle name="Normal 18" xfId="18" xr:uid="{00000000-0005-0000-0000-000042000000}"/>
    <cellStyle name="Normal 18 2" xfId="19" xr:uid="{00000000-0005-0000-0000-000043000000}"/>
    <cellStyle name="Normal 19" xfId="20" xr:uid="{00000000-0005-0000-0000-000044000000}"/>
    <cellStyle name="Normal 19 2" xfId="21" xr:uid="{00000000-0005-0000-0000-000045000000}"/>
    <cellStyle name="Normal 2" xfId="22" xr:uid="{00000000-0005-0000-0000-000046000000}"/>
    <cellStyle name="Normal 2 2" xfId="23" xr:uid="{00000000-0005-0000-0000-000047000000}"/>
    <cellStyle name="Normal 20" xfId="24" xr:uid="{00000000-0005-0000-0000-000048000000}"/>
    <cellStyle name="Normal 20 2" xfId="25" xr:uid="{00000000-0005-0000-0000-000049000000}"/>
    <cellStyle name="Normal 21" xfId="26" xr:uid="{00000000-0005-0000-0000-00004A000000}"/>
    <cellStyle name="Normal 21 2" xfId="27" xr:uid="{00000000-0005-0000-0000-00004B000000}"/>
    <cellStyle name="Normal 22" xfId="28" xr:uid="{00000000-0005-0000-0000-00004C000000}"/>
    <cellStyle name="Normal 22 2" xfId="29" xr:uid="{00000000-0005-0000-0000-00004D000000}"/>
    <cellStyle name="Normal 23" xfId="30" xr:uid="{00000000-0005-0000-0000-00004E000000}"/>
    <cellStyle name="Normal 23 2" xfId="31" xr:uid="{00000000-0005-0000-0000-00004F000000}"/>
    <cellStyle name="Normal 24" xfId="32" xr:uid="{00000000-0005-0000-0000-000050000000}"/>
    <cellStyle name="Normal 24 2" xfId="33" xr:uid="{00000000-0005-0000-0000-000051000000}"/>
    <cellStyle name="Normal 25" xfId="34" xr:uid="{00000000-0005-0000-0000-000052000000}"/>
    <cellStyle name="Normal 25 2" xfId="35" xr:uid="{00000000-0005-0000-0000-000053000000}"/>
    <cellStyle name="Normal 26" xfId="36" xr:uid="{00000000-0005-0000-0000-000054000000}"/>
    <cellStyle name="Normal 27" xfId="37" xr:uid="{00000000-0005-0000-0000-000055000000}"/>
    <cellStyle name="Normal 27 2" xfId="38" xr:uid="{00000000-0005-0000-0000-000056000000}"/>
    <cellStyle name="Normal 28" xfId="39" xr:uid="{00000000-0005-0000-0000-000057000000}"/>
    <cellStyle name="Normal 28 2" xfId="40" xr:uid="{00000000-0005-0000-0000-000058000000}"/>
    <cellStyle name="Normal 29" xfId="41" xr:uid="{00000000-0005-0000-0000-000059000000}"/>
    <cellStyle name="Normal 29 2" xfId="42" xr:uid="{00000000-0005-0000-0000-00005A000000}"/>
    <cellStyle name="Normal 3" xfId="43" xr:uid="{00000000-0005-0000-0000-00005B000000}"/>
    <cellStyle name="Normal 3 2" xfId="44" xr:uid="{00000000-0005-0000-0000-00005C000000}"/>
    <cellStyle name="Normal 30" xfId="45" xr:uid="{00000000-0005-0000-0000-00005D000000}"/>
    <cellStyle name="Normal 30 2" xfId="46" xr:uid="{00000000-0005-0000-0000-00005E000000}"/>
    <cellStyle name="Normal 31" xfId="47" xr:uid="{00000000-0005-0000-0000-00005F000000}"/>
    <cellStyle name="Normal 31 2" xfId="48" xr:uid="{00000000-0005-0000-0000-000060000000}"/>
    <cellStyle name="Normal 4" xfId="49" xr:uid="{00000000-0005-0000-0000-000061000000}"/>
    <cellStyle name="Normal 4 2" xfId="50" xr:uid="{00000000-0005-0000-0000-000062000000}"/>
    <cellStyle name="Normal 5" xfId="51" xr:uid="{00000000-0005-0000-0000-000063000000}"/>
    <cellStyle name="Normal 5 2" xfId="52" xr:uid="{00000000-0005-0000-0000-000064000000}"/>
    <cellStyle name="Normal 6" xfId="53" xr:uid="{00000000-0005-0000-0000-000065000000}"/>
    <cellStyle name="Normal 6 2" xfId="54" xr:uid="{00000000-0005-0000-0000-000066000000}"/>
    <cellStyle name="Normal 7" xfId="55" xr:uid="{00000000-0005-0000-0000-000067000000}"/>
    <cellStyle name="Normal 7 2" xfId="56" xr:uid="{00000000-0005-0000-0000-000068000000}"/>
    <cellStyle name="Normal 8" xfId="57" xr:uid="{00000000-0005-0000-0000-000069000000}"/>
    <cellStyle name="Normal 8 2" xfId="58" xr:uid="{00000000-0005-0000-0000-00006A000000}"/>
    <cellStyle name="Normal 9" xfId="59" xr:uid="{00000000-0005-0000-0000-00006B000000}"/>
    <cellStyle name="Normal 9 2" xfId="60" xr:uid="{00000000-0005-0000-0000-00006C000000}"/>
    <cellStyle name="常规 10" xfId="61" xr:uid="{00000000-0005-0000-0000-00006D000000}"/>
    <cellStyle name="常规 10 2" xfId="62" xr:uid="{00000000-0005-0000-0000-00006E000000}"/>
    <cellStyle name="常规 11" xfId="63" xr:uid="{00000000-0005-0000-0000-00006F000000}"/>
    <cellStyle name="常规 11 2" xfId="64" xr:uid="{00000000-0005-0000-0000-000070000000}"/>
    <cellStyle name="常规 12" xfId="65" xr:uid="{00000000-0005-0000-0000-000071000000}"/>
    <cellStyle name="常规 12 2" xfId="66" xr:uid="{00000000-0005-0000-0000-000072000000}"/>
    <cellStyle name="常规 13" xfId="67" xr:uid="{00000000-0005-0000-0000-000073000000}"/>
    <cellStyle name="常规 13 2" xfId="68" xr:uid="{00000000-0005-0000-0000-000074000000}"/>
    <cellStyle name="常规 14" xfId="69" xr:uid="{00000000-0005-0000-0000-000075000000}"/>
    <cellStyle name="常规 14 2" xfId="70" xr:uid="{00000000-0005-0000-0000-000076000000}"/>
    <cellStyle name="常规 15" xfId="71" xr:uid="{00000000-0005-0000-0000-000077000000}"/>
    <cellStyle name="常规 15 2" xfId="72" xr:uid="{00000000-0005-0000-0000-000078000000}"/>
    <cellStyle name="常规 16" xfId="73" xr:uid="{00000000-0005-0000-0000-000079000000}"/>
    <cellStyle name="常规 16 2" xfId="74" xr:uid="{00000000-0005-0000-0000-00007A000000}"/>
    <cellStyle name="常规 17" xfId="75" xr:uid="{00000000-0005-0000-0000-00007B000000}"/>
    <cellStyle name="常规 17 2" xfId="76" xr:uid="{00000000-0005-0000-0000-00007C000000}"/>
    <cellStyle name="常规 18" xfId="77" xr:uid="{00000000-0005-0000-0000-00007D000000}"/>
    <cellStyle name="常规 18 2" xfId="78" xr:uid="{00000000-0005-0000-0000-00007E000000}"/>
    <cellStyle name="常规 19" xfId="79" xr:uid="{00000000-0005-0000-0000-00007F000000}"/>
    <cellStyle name="常规 2" xfId="80" xr:uid="{00000000-0005-0000-0000-000080000000}"/>
    <cellStyle name="常规 2 2" xfId="81" xr:uid="{00000000-0005-0000-0000-000081000000}"/>
    <cellStyle name="常规 2 3" xfId="82" xr:uid="{00000000-0005-0000-0000-000082000000}"/>
    <cellStyle name="常规 20" xfId="83" xr:uid="{00000000-0005-0000-0000-000083000000}"/>
    <cellStyle name="常规 20 2" xfId="84" xr:uid="{00000000-0005-0000-0000-000084000000}"/>
    <cellStyle name="常规 21" xfId="85" xr:uid="{00000000-0005-0000-0000-000085000000}"/>
    <cellStyle name="常规 3" xfId="86" xr:uid="{00000000-0005-0000-0000-000086000000}"/>
    <cellStyle name="常规 3 2" xfId="87" xr:uid="{00000000-0005-0000-0000-000087000000}"/>
    <cellStyle name="常规 4" xfId="88" xr:uid="{00000000-0005-0000-0000-000088000000}"/>
    <cellStyle name="常规 4 2" xfId="89" xr:uid="{00000000-0005-0000-0000-000089000000}"/>
    <cellStyle name="常规 5" xfId="90" xr:uid="{00000000-0005-0000-0000-00008A000000}"/>
    <cellStyle name="常规 5 2" xfId="91" xr:uid="{00000000-0005-0000-0000-00008B000000}"/>
    <cellStyle name="常规 6" xfId="92" xr:uid="{00000000-0005-0000-0000-00008C000000}"/>
    <cellStyle name="常规 6 2" xfId="93" xr:uid="{00000000-0005-0000-0000-00008D000000}"/>
    <cellStyle name="常规 7" xfId="94" xr:uid="{00000000-0005-0000-0000-00008E000000}"/>
    <cellStyle name="常规 7 2" xfId="95" xr:uid="{00000000-0005-0000-0000-00008F000000}"/>
    <cellStyle name="常规 8" xfId="96" xr:uid="{00000000-0005-0000-0000-000090000000}"/>
    <cellStyle name="常规 8 2" xfId="97" xr:uid="{00000000-0005-0000-0000-000091000000}"/>
    <cellStyle name="常规 9" xfId="98" xr:uid="{00000000-0005-0000-0000-000092000000}"/>
    <cellStyle name="常规 9 2" xfId="99" xr:uid="{00000000-0005-0000-0000-000093000000}"/>
  </cellStyles>
  <dxfs count="10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u val="none"/>
        <sz val="14"/>
        <color theme="1"/>
        <name val="等线"/>
        <family val="3"/>
        <charset val="134"/>
        <scheme val="none"/>
      </font>
      <numFmt numFmtId="164" formatCode="0.00_);[Red]\(0.00\)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auto="1"/>
        <name val="等线"/>
        <family val="3"/>
        <charset val="134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u val="none"/>
        <sz val="14"/>
        <color theme="1"/>
        <name val="等线"/>
        <family val="3"/>
        <charset val="134"/>
        <scheme val="none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indexed="8"/>
        <name val="微软雅黑"/>
        <family val="2"/>
        <charset val="134"/>
        <scheme val="none"/>
      </font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laChen" refreshedDate="45865.333622685197" createdVersion="5" refreshedVersion="5" minRefreshableVersion="3" recordCount="76" xr:uid="{00000000-000A-0000-FFFF-FFFF00000000}">
  <cacheSource type="worksheet">
    <worksheetSource ref="B1:C77" sheet="Sheet1"/>
  </cacheSource>
  <cacheFields count="2">
    <cacheField name="货号" numFmtId="0">
      <sharedItems count="34">
        <s v="SNC-PM03025700"/>
        <s v="SNC-PM03019100"/>
        <s v="SNC-PM03019300"/>
        <s v="SNC-PM03019500"/>
        <s v="SNC-P003320"/>
        <s v="SNC-P002616"/>
        <s v="SNC-P002896"/>
        <s v="SNC-PM03019400"/>
        <s v="SNC-PM03019000"/>
        <s v="SNC-P002471"/>
        <s v="SNC-P002473"/>
        <s v="SNC-P002474"/>
        <s v="SNC-P002502"/>
        <s v="SNC-PM05028000"/>
        <s v="SNC-PM05028100"/>
        <s v="SNC-PM03019200"/>
        <s v="SNC-PM04001100"/>
        <s v="SNC-PM04009500"/>
        <s v="SNC-PM04009700"/>
        <s v="SNC-PM05022700"/>
        <s v="SNC-PM04012100"/>
        <s v="SNC-PM08052600"/>
        <s v="SNC-PM08054500"/>
        <s v="SNC-PM04015600"/>
        <s v="SNC-PM08043900"/>
        <s v="SNC-PM08044000"/>
        <s v="SNC-PM04014800"/>
        <s v="SNC-PM05024200"/>
        <s v="SNC-PM08046100"/>
        <s v="SNC-PM08046300"/>
        <s v="SNC-PM08047600"/>
        <s v="SNC-PM08047700"/>
        <s v="SNC-PM08054100"/>
        <s v="SNC-PM08042000"/>
      </sharedItems>
    </cacheField>
    <cacheField name="件数" numFmtId="0">
      <sharedItems containsSemiMixedTypes="0" containsString="0" containsNumber="1" minValue="0" maxValue="756" count="28">
        <n v="16"/>
        <n v="215"/>
        <n v="252"/>
        <n v="1"/>
        <n v="10"/>
        <n v="2"/>
        <n v="5"/>
        <n v="120"/>
        <n v="0"/>
        <n v="127"/>
        <n v="30"/>
        <n v="7"/>
        <n v="650"/>
        <n v="100"/>
        <n v="61"/>
        <n v="756"/>
        <n v="29"/>
        <n v="86"/>
        <n v="41"/>
        <n v="60"/>
        <n v="0.2"/>
        <n v="0.3"/>
        <n v="0.1"/>
        <n v="3"/>
        <n v="0.5"/>
        <n v="34"/>
        <n v="0.8"/>
        <n v="0.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laChen" refreshedDate="45886.432284374998" createdVersion="8" refreshedVersion="8" minRefreshableVersion="3" recordCount="77" xr:uid="{00000000-000A-0000-FFFF-FFFF01000000}">
  <cacheSource type="worksheet">
    <worksheetSource name="表1"/>
  </cacheSource>
  <cacheFields count="2">
    <cacheField name="货号" numFmtId="0">
      <sharedItems count="58">
        <s v="SNC-P002956"/>
        <s v="SNC-P002957"/>
        <s v="SNC-P002936"/>
        <s v="SNC-P002937"/>
        <s v="SNC-P000457"/>
        <s v="SNC-P002607"/>
        <s v="SNC-P002407"/>
        <s v="SNC-P000690"/>
        <s v="SNC-P000458"/>
        <s v="SNC-P002830"/>
        <s v="SNC-P002614"/>
        <s v="SNC-P000538"/>
        <s v="SNC-P001273"/>
        <s v="SNC-P001274"/>
        <s v="SNC-P002670"/>
        <s v="SNC-P002605"/>
        <s v="SNC-P002520"/>
        <s v="SNC-P002939"/>
        <s v="SNC-P003602"/>
        <s v="SNC-P003603"/>
        <s v="SNC-P002661"/>
        <s v="SNC-P003455"/>
        <s v="SNC-P001105"/>
        <s v="SNC-P003300"/>
        <s v="SNC-P001106"/>
        <s v="SNC-P000936"/>
        <s v="SNC-P002960"/>
        <s v="SNC-P003490"/>
        <s v="SNC-P002958"/>
        <s v="SNC-P000492"/>
        <s v="SNC-P002671"/>
        <s v="SNC-P002829"/>
        <s v="SNC-P002762"/>
        <s v="SNC-P002761"/>
        <s v="SNC-P002763"/>
        <s v="SNC-P003604"/>
        <s v="SNC-P002571"/>
        <s v="SNC-P002573"/>
        <s v="SNC-P002588"/>
        <s v="SNC-P002584"/>
        <s v="SNC-P002591"/>
        <s v="SNC-P002662"/>
        <s v="SNC-P002604"/>
        <s v="SNC-P002669"/>
        <s v="SNC-P002664"/>
        <s v="SNC-P002727"/>
        <s v="SNC-P002610"/>
        <s v="SNC-P002611"/>
        <s v="SNC-P002666"/>
        <s v="SNC-P002667"/>
        <s v="SNC-P002619"/>
        <s v="SNC-P002620"/>
        <s v="SNC-P003609"/>
        <s v="SNC-P002672"/>
        <s v="SNC-EC99000300"/>
        <s v="SNC-P002665"/>
        <s v="SNC-P002694"/>
        <s v="SNC-P002613"/>
      </sharedItems>
    </cacheField>
    <cacheField name="件数" numFmtId="164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laChen" refreshedDate="45897.789384606498" createdVersion="8" refreshedVersion="8" minRefreshableVersion="3" recordCount="24" xr:uid="{00000000-000A-0000-FFFF-FFFF02000000}">
  <cacheSource type="worksheet">
    <worksheetSource name="表2"/>
  </cacheSource>
  <cacheFields count="2">
    <cacheField name="货号" numFmtId="0">
      <sharedItems count="18">
        <s v="SNC-P002569_L"/>
        <s v="SNC-P002572_L"/>
        <s v="SNC-P002574_L"/>
        <s v="SNC-P002575_L"/>
        <s v="SNC-P002577_L"/>
        <s v="SNC-P002589_L"/>
        <s v="SNC-P002590_L"/>
        <s v="SNC-P002600_L"/>
        <s v="SNC-P002623_L"/>
        <s v="SNC-P002626_L"/>
        <s v="SNC-P002636"/>
        <s v="SNC-P002635_L"/>
        <s v="SNC-P002638_L"/>
        <s v="SNC-P002629"/>
        <s v="SNC-P002631_L"/>
        <s v="SNC-P002654_L"/>
        <s v="SNC-P002657_L"/>
        <s v="SNC-PM06010100"/>
      </sharedItems>
    </cacheField>
    <cacheField name="件数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">
  <r>
    <x v="0"/>
    <x v="0"/>
  </r>
  <r>
    <x v="1"/>
    <x v="1"/>
  </r>
  <r>
    <x v="2"/>
    <x v="2"/>
  </r>
  <r>
    <x v="3"/>
    <x v="2"/>
  </r>
  <r>
    <x v="4"/>
    <x v="3"/>
  </r>
  <r>
    <x v="4"/>
    <x v="4"/>
  </r>
  <r>
    <x v="5"/>
    <x v="5"/>
  </r>
  <r>
    <x v="6"/>
    <x v="6"/>
  </r>
  <r>
    <x v="7"/>
    <x v="7"/>
  </r>
  <r>
    <x v="7"/>
    <x v="8"/>
  </r>
  <r>
    <x v="8"/>
    <x v="9"/>
  </r>
  <r>
    <x v="8"/>
    <x v="3"/>
  </r>
  <r>
    <x v="9"/>
    <x v="10"/>
  </r>
  <r>
    <x v="7"/>
    <x v="9"/>
  </r>
  <r>
    <x v="7"/>
    <x v="9"/>
  </r>
  <r>
    <x v="7"/>
    <x v="11"/>
  </r>
  <r>
    <x v="8"/>
    <x v="9"/>
  </r>
  <r>
    <x v="8"/>
    <x v="9"/>
  </r>
  <r>
    <x v="10"/>
    <x v="12"/>
  </r>
  <r>
    <x v="11"/>
    <x v="12"/>
  </r>
  <r>
    <x v="12"/>
    <x v="12"/>
  </r>
  <r>
    <x v="13"/>
    <x v="13"/>
  </r>
  <r>
    <x v="14"/>
    <x v="13"/>
  </r>
  <r>
    <x v="2"/>
    <x v="14"/>
  </r>
  <r>
    <x v="3"/>
    <x v="15"/>
  </r>
  <r>
    <x v="7"/>
    <x v="16"/>
  </r>
  <r>
    <x v="15"/>
    <x v="9"/>
  </r>
  <r>
    <x v="15"/>
    <x v="9"/>
  </r>
  <r>
    <x v="8"/>
    <x v="9"/>
  </r>
  <r>
    <x v="7"/>
    <x v="10"/>
  </r>
  <r>
    <x v="7"/>
    <x v="17"/>
  </r>
  <r>
    <x v="7"/>
    <x v="18"/>
  </r>
  <r>
    <x v="15"/>
    <x v="9"/>
  </r>
  <r>
    <x v="8"/>
    <x v="9"/>
  </r>
  <r>
    <x v="8"/>
    <x v="9"/>
  </r>
  <r>
    <x v="9"/>
    <x v="19"/>
  </r>
  <r>
    <x v="7"/>
    <x v="9"/>
  </r>
  <r>
    <x v="8"/>
    <x v="9"/>
  </r>
  <r>
    <x v="16"/>
    <x v="20"/>
  </r>
  <r>
    <x v="17"/>
    <x v="20"/>
  </r>
  <r>
    <x v="18"/>
    <x v="21"/>
  </r>
  <r>
    <x v="19"/>
    <x v="22"/>
  </r>
  <r>
    <x v="16"/>
    <x v="22"/>
  </r>
  <r>
    <x v="17"/>
    <x v="22"/>
  </r>
  <r>
    <x v="20"/>
    <x v="3"/>
  </r>
  <r>
    <x v="21"/>
    <x v="3"/>
  </r>
  <r>
    <x v="18"/>
    <x v="3"/>
  </r>
  <r>
    <x v="22"/>
    <x v="3"/>
  </r>
  <r>
    <x v="16"/>
    <x v="23"/>
  </r>
  <r>
    <x v="17"/>
    <x v="3"/>
  </r>
  <r>
    <x v="18"/>
    <x v="24"/>
  </r>
  <r>
    <x v="23"/>
    <x v="24"/>
  </r>
  <r>
    <x v="24"/>
    <x v="24"/>
  </r>
  <r>
    <x v="25"/>
    <x v="24"/>
  </r>
  <r>
    <x v="20"/>
    <x v="25"/>
  </r>
  <r>
    <x v="17"/>
    <x v="26"/>
  </r>
  <r>
    <x v="26"/>
    <x v="27"/>
  </r>
  <r>
    <x v="27"/>
    <x v="27"/>
  </r>
  <r>
    <x v="28"/>
    <x v="3"/>
  </r>
  <r>
    <x v="29"/>
    <x v="27"/>
  </r>
  <r>
    <x v="30"/>
    <x v="20"/>
  </r>
  <r>
    <x v="31"/>
    <x v="20"/>
  </r>
  <r>
    <x v="32"/>
    <x v="24"/>
  </r>
  <r>
    <x v="32"/>
    <x v="24"/>
  </r>
  <r>
    <x v="32"/>
    <x v="3"/>
  </r>
  <r>
    <x v="22"/>
    <x v="24"/>
  </r>
  <r>
    <x v="17"/>
    <x v="24"/>
  </r>
  <r>
    <x v="32"/>
    <x v="23"/>
  </r>
  <r>
    <x v="22"/>
    <x v="27"/>
  </r>
  <r>
    <x v="22"/>
    <x v="20"/>
  </r>
  <r>
    <x v="32"/>
    <x v="20"/>
  </r>
  <r>
    <x v="33"/>
    <x v="3"/>
  </r>
  <r>
    <x v="33"/>
    <x v="3"/>
  </r>
  <r>
    <x v="33"/>
    <x v="6"/>
  </r>
  <r>
    <x v="33"/>
    <x v="3"/>
  </r>
  <r>
    <x v="33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0.5"/>
  </r>
  <r>
    <x v="1"/>
    <n v="0.5"/>
  </r>
  <r>
    <x v="2"/>
    <n v="1"/>
  </r>
  <r>
    <x v="3"/>
    <n v="1"/>
  </r>
  <r>
    <x v="4"/>
    <n v="0.04"/>
  </r>
  <r>
    <x v="4"/>
    <n v="0.06"/>
  </r>
  <r>
    <x v="5"/>
    <n v="0.04"/>
  </r>
  <r>
    <x v="6"/>
    <n v="0.04"/>
  </r>
  <r>
    <x v="6"/>
    <n v="0.04"/>
  </r>
  <r>
    <x v="7"/>
    <n v="0.04"/>
  </r>
  <r>
    <x v="8"/>
    <n v="0.04"/>
  </r>
  <r>
    <x v="9"/>
    <n v="0.04"/>
  </r>
  <r>
    <x v="10"/>
    <n v="0.04"/>
  </r>
  <r>
    <x v="11"/>
    <n v="0.04"/>
  </r>
  <r>
    <x v="12"/>
    <n v="0.04"/>
  </r>
  <r>
    <x v="13"/>
    <n v="0.04"/>
  </r>
  <r>
    <x v="14"/>
    <n v="0.04"/>
  </r>
  <r>
    <x v="15"/>
    <n v="0.04"/>
  </r>
  <r>
    <x v="16"/>
    <n v="0.06"/>
  </r>
  <r>
    <x v="16"/>
    <n v="0.04"/>
  </r>
  <r>
    <x v="17"/>
    <n v="0.04"/>
  </r>
  <r>
    <x v="18"/>
    <n v="0.04"/>
  </r>
  <r>
    <x v="18"/>
    <n v="0.06"/>
  </r>
  <r>
    <x v="19"/>
    <n v="0.04"/>
  </r>
  <r>
    <x v="19"/>
    <n v="0.06"/>
  </r>
  <r>
    <x v="20"/>
    <n v="0.04"/>
  </r>
  <r>
    <x v="20"/>
    <n v="0.04"/>
  </r>
  <r>
    <x v="21"/>
    <n v="0.08"/>
  </r>
  <r>
    <x v="21"/>
    <n v="0.05"/>
  </r>
  <r>
    <x v="22"/>
    <n v="0.05"/>
  </r>
  <r>
    <x v="23"/>
    <n v="0.05"/>
  </r>
  <r>
    <x v="23"/>
    <n v="0.05"/>
  </r>
  <r>
    <x v="24"/>
    <n v="0.05"/>
  </r>
  <r>
    <x v="24"/>
    <n v="0.05"/>
  </r>
  <r>
    <x v="25"/>
    <n v="0.05"/>
  </r>
  <r>
    <x v="25"/>
    <n v="7.0000000000000007E-2"/>
  </r>
  <r>
    <x v="26"/>
    <n v="7.0000000000000007E-2"/>
  </r>
  <r>
    <x v="27"/>
    <n v="0.05"/>
  </r>
  <r>
    <x v="27"/>
    <n v="0.05"/>
  </r>
  <r>
    <x v="28"/>
    <n v="0.05"/>
  </r>
  <r>
    <x v="29"/>
    <n v="0.05"/>
  </r>
  <r>
    <x v="29"/>
    <n v="0.05"/>
  </r>
  <r>
    <x v="30"/>
    <n v="0.08"/>
  </r>
  <r>
    <x v="30"/>
    <n v="0.05"/>
  </r>
  <r>
    <x v="31"/>
    <n v="0.05"/>
  </r>
  <r>
    <x v="32"/>
    <n v="0.2"/>
  </r>
  <r>
    <x v="32"/>
    <n v="0.2"/>
  </r>
  <r>
    <x v="33"/>
    <n v="0.2"/>
  </r>
  <r>
    <x v="33"/>
    <n v="0.2"/>
  </r>
  <r>
    <x v="34"/>
    <n v="0.2"/>
  </r>
  <r>
    <x v="35"/>
    <n v="0.5"/>
  </r>
  <r>
    <x v="35"/>
    <n v="0.5"/>
  </r>
  <r>
    <x v="36"/>
    <n v="0.12"/>
  </r>
  <r>
    <x v="36"/>
    <n v="0.11"/>
  </r>
  <r>
    <x v="37"/>
    <n v="0.11"/>
  </r>
  <r>
    <x v="37"/>
    <n v="0.11"/>
  </r>
  <r>
    <x v="38"/>
    <n v="0.11"/>
  </r>
  <r>
    <x v="39"/>
    <n v="0.11"/>
  </r>
  <r>
    <x v="40"/>
    <n v="0.11"/>
  </r>
  <r>
    <x v="41"/>
    <n v="0.11"/>
  </r>
  <r>
    <x v="42"/>
    <n v="0.11"/>
  </r>
  <r>
    <x v="43"/>
    <n v="1"/>
  </r>
  <r>
    <x v="44"/>
    <n v="3"/>
  </r>
  <r>
    <x v="45"/>
    <n v="20"/>
  </r>
  <r>
    <x v="46"/>
    <n v="19"/>
  </r>
  <r>
    <x v="47"/>
    <n v="55"/>
  </r>
  <r>
    <x v="48"/>
    <n v="0.25"/>
  </r>
  <r>
    <x v="49"/>
    <n v="0.25"/>
  </r>
  <r>
    <x v="50"/>
    <n v="0.25"/>
  </r>
  <r>
    <x v="51"/>
    <n v="0.25"/>
  </r>
  <r>
    <x v="52"/>
    <n v="3"/>
  </r>
  <r>
    <x v="53"/>
    <n v="182"/>
  </r>
  <r>
    <x v="54"/>
    <n v="74"/>
  </r>
  <r>
    <x v="55"/>
    <n v="6"/>
  </r>
  <r>
    <x v="56"/>
    <n v="6"/>
  </r>
  <r>
    <x v="57"/>
    <n v="0.5"/>
  </r>
  <r>
    <x v="57"/>
    <n v="0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"/>
  </r>
  <r>
    <x v="0"/>
    <n v="1"/>
  </r>
  <r>
    <x v="1"/>
    <n v="0.5"/>
  </r>
  <r>
    <x v="2"/>
    <n v="0.5"/>
  </r>
  <r>
    <x v="3"/>
    <n v="1"/>
  </r>
  <r>
    <x v="3"/>
    <n v="1"/>
  </r>
  <r>
    <x v="4"/>
    <n v="1"/>
  </r>
  <r>
    <x v="5"/>
    <n v="0.5"/>
  </r>
  <r>
    <x v="6"/>
    <n v="0.5"/>
  </r>
  <r>
    <x v="7"/>
    <n v="1"/>
  </r>
  <r>
    <x v="8"/>
    <n v="1"/>
  </r>
  <r>
    <x v="9"/>
    <n v="1"/>
  </r>
  <r>
    <x v="10"/>
    <n v="1"/>
  </r>
  <r>
    <x v="10"/>
    <n v="1"/>
  </r>
  <r>
    <x v="11"/>
    <n v="1"/>
  </r>
  <r>
    <x v="12"/>
    <n v="1"/>
  </r>
  <r>
    <x v="13"/>
    <n v="1"/>
  </r>
  <r>
    <x v="14"/>
    <n v="1"/>
  </r>
  <r>
    <x v="15"/>
    <n v="2"/>
  </r>
  <r>
    <x v="16"/>
    <n v="2"/>
  </r>
  <r>
    <x v="9"/>
    <n v="1"/>
  </r>
  <r>
    <x v="17"/>
    <n v="6"/>
  </r>
  <r>
    <x v="17"/>
    <n v="49"/>
  </r>
  <r>
    <x v="17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数据透视表3" cacheId="2" applyNumberFormats="0" applyBorderFormats="0" applyFontFormats="0" applyPatternFormats="0" applyAlignmentFormats="0" applyWidthHeightFormats="1" dataCaption="值" updatedVersion="8" minRefreshableVersion="3" useAutoFormatting="1" createdVersion="8" indent="0" outline="1" outlineData="1" multipleFieldFilters="0">
  <location ref="A3:B22" firstHeaderRow="1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4"/>
        <item x="11"/>
        <item x="10"/>
        <item x="12"/>
        <item x="15"/>
        <item x="16"/>
        <item x="17"/>
        <item t="default"/>
      </items>
    </pivotField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求和项:件数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数据透视表2" cacheId="1" applyNumberFormats="0" applyBorderFormats="0" applyFontFormats="0" applyPatternFormats="0" applyAlignmentFormats="0" applyWidthHeightFormats="1" dataCaption="值" updatedVersion="8" minRefreshableVersion="3" useAutoFormatting="1" createdVersion="8" indent="0" outline="1" outlineData="1" multipleFieldFilters="0">
  <location ref="A3:B62" firstHeaderRow="1" firstDataRow="1" firstDataCol="1"/>
  <pivotFields count="2">
    <pivotField axis="axisRow" showAll="0">
      <items count="59">
        <item x="54"/>
        <item x="4"/>
        <item x="8"/>
        <item x="29"/>
        <item x="11"/>
        <item x="7"/>
        <item x="25"/>
        <item x="22"/>
        <item x="24"/>
        <item x="12"/>
        <item x="13"/>
        <item x="6"/>
        <item x="16"/>
        <item x="36"/>
        <item x="37"/>
        <item x="39"/>
        <item x="38"/>
        <item x="40"/>
        <item x="42"/>
        <item x="15"/>
        <item x="5"/>
        <item x="46"/>
        <item x="47"/>
        <item x="57"/>
        <item x="10"/>
        <item x="50"/>
        <item x="51"/>
        <item x="20"/>
        <item x="41"/>
        <item x="44"/>
        <item x="55"/>
        <item x="48"/>
        <item x="49"/>
        <item x="43"/>
        <item x="14"/>
        <item x="30"/>
        <item x="53"/>
        <item x="56"/>
        <item x="45"/>
        <item x="33"/>
        <item x="32"/>
        <item x="34"/>
        <item x="31"/>
        <item x="9"/>
        <item x="2"/>
        <item x="3"/>
        <item x="17"/>
        <item x="0"/>
        <item x="1"/>
        <item x="28"/>
        <item x="26"/>
        <item x="23"/>
        <item x="21"/>
        <item x="27"/>
        <item x="18"/>
        <item x="19"/>
        <item x="35"/>
        <item x="52"/>
        <item t="default"/>
      </items>
    </pivotField>
    <pivotField dataField="1" numFmtId="164" showAll="0"/>
  </pivotFields>
  <rowFields count="1">
    <field x="0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求和项:件数" fld="1" baseField="0" baseItem="0" numFmtId="164"/>
  </dataFields>
  <formats count="55">
    <format dxfId="97">
      <pivotArea collapsedLevelsAreSubtotals="1" fieldPosition="0">
        <references count="1">
          <reference field="0" count="1">
            <x v="31"/>
          </reference>
        </references>
      </pivotArea>
    </format>
    <format dxfId="96">
      <pivotArea collapsedLevelsAreSubtotals="1" fieldPosition="0">
        <references count="1">
          <reference field="0" count="1">
            <x v="32"/>
          </reference>
        </references>
      </pivotArea>
    </format>
    <format dxfId="95">
      <pivotArea collapsedLevelsAreSubtotals="1" fieldPosition="0">
        <references count="1">
          <reference field="0" count="1">
            <x v="44"/>
          </reference>
        </references>
      </pivotArea>
    </format>
    <format dxfId="94">
      <pivotArea collapsedLevelsAreSubtotals="1" fieldPosition="0">
        <references count="1">
          <reference field="0" count="1">
            <x v="45"/>
          </reference>
        </references>
      </pivotArea>
    </format>
    <format dxfId="93">
      <pivotArea collapsedLevelsAreSubtotals="1" fieldPosition="0">
        <references count="1">
          <reference field="0" count="1">
            <x v="47"/>
          </reference>
        </references>
      </pivotArea>
    </format>
    <format dxfId="92">
      <pivotArea collapsedLevelsAreSubtotals="1" fieldPosition="0">
        <references count="1">
          <reference field="0" count="1">
            <x v="48"/>
          </reference>
        </references>
      </pivotArea>
    </format>
    <format dxfId="91">
      <pivotArea collapsedLevelsAreSubtotals="1" fieldPosition="0">
        <references count="1">
          <reference field="0" count="1">
            <x v="8"/>
          </reference>
        </references>
      </pivotArea>
    </format>
    <format dxfId="90">
      <pivotArea collapsedLevelsAreSubtotals="1" fieldPosition="0">
        <references count="1">
          <reference field="0" count="1">
            <x v="51"/>
          </reference>
        </references>
      </pivotArea>
    </format>
    <format dxfId="89">
      <pivotArea collapsedLevelsAreSubtotals="1" fieldPosition="0">
        <references count="1">
          <reference field="0" count="1">
            <x v="23"/>
          </reference>
        </references>
      </pivotArea>
    </format>
    <format dxfId="88">
      <pivotArea collapsedLevelsAreSubtotals="1" fieldPosition="0">
        <references count="1">
          <reference field="0" count="1">
            <x v="33"/>
          </reference>
        </references>
      </pivotArea>
    </format>
    <format dxfId="87">
      <pivotArea collapsedLevelsAreSubtotals="1" fieldPosition="0">
        <references count="1">
          <reference field="0" count="1">
            <x v="34"/>
          </reference>
        </references>
      </pivotArea>
    </format>
    <format dxfId="86">
      <pivotArea collapsedLevelsAreSubtotals="1" fieldPosition="0">
        <references count="1">
          <reference field="0" count="1">
            <x v="30"/>
          </reference>
        </references>
      </pivotArea>
    </format>
    <format dxfId="85">
      <pivotArea collapsedLevelsAreSubtotals="1" fieldPosition="0">
        <references count="1">
          <reference field="0" count="1">
            <x v="37"/>
          </reference>
        </references>
      </pivotArea>
    </format>
    <format dxfId="84">
      <pivotArea collapsedLevelsAreSubtotals="1" fieldPosition="0">
        <references count="1">
          <reference field="0" count="1">
            <x v="13"/>
          </reference>
        </references>
      </pivotArea>
    </format>
    <format dxfId="83">
      <pivotArea collapsedLevelsAreSubtotals="1" fieldPosition="0">
        <references count="1">
          <reference field="0" count="1">
            <x v="18"/>
          </reference>
        </references>
      </pivotArea>
    </format>
    <format dxfId="82">
      <pivotArea collapsedLevelsAreSubtotals="1" fieldPosition="0">
        <references count="1">
          <reference field="0" count="1">
            <x v="28"/>
          </reference>
        </references>
      </pivotArea>
    </format>
    <format dxfId="81">
      <pivotArea collapsedLevelsAreSubtotals="1" fieldPosition="0">
        <references count="1">
          <reference field="0" count="1">
            <x v="3"/>
          </reference>
        </references>
      </pivotArea>
    </format>
    <format dxfId="80">
      <pivotArea collapsedLevelsAreSubtotals="1" fieldPosition="0">
        <references count="1">
          <reference field="0" count="1">
            <x v="15"/>
          </reference>
        </references>
      </pivotArea>
    </format>
    <format dxfId="79">
      <pivotArea collapsedLevelsAreSubtotals="1" fieldPosition="0">
        <references count="1">
          <reference field="0" count="1">
            <x v="17"/>
          </reference>
        </references>
      </pivotArea>
    </format>
    <format dxfId="78">
      <pivotArea collapsedLevelsAreSubtotals="1" fieldPosition="0">
        <references count="1">
          <reference field="0" count="1">
            <x v="19"/>
          </reference>
        </references>
      </pivotArea>
    </format>
    <format dxfId="77">
      <pivotArea collapsedLevelsAreSubtotals="1" fieldPosition="0">
        <references count="1">
          <reference field="0" count="1">
            <x v="39"/>
          </reference>
        </references>
      </pivotArea>
    </format>
    <format dxfId="76">
      <pivotArea collapsedLevelsAreSubtotals="1" fieldPosition="0">
        <references count="1">
          <reference field="0" count="1">
            <x v="40"/>
          </reference>
        </references>
      </pivotArea>
    </format>
    <format dxfId="75">
      <pivotArea collapsedLevelsAreSubtotals="1" fieldPosition="0">
        <references count="1">
          <reference field="0" count="1">
            <x v="41"/>
          </reference>
        </references>
      </pivotArea>
    </format>
    <format dxfId="74">
      <pivotArea collapsedLevelsAreSubtotals="1" fieldPosition="0">
        <references count="1">
          <reference field="0" count="1">
            <x v="10"/>
          </reference>
        </references>
      </pivotArea>
    </format>
    <format dxfId="73">
      <pivotArea collapsedLevelsAreSubtotals="1" fieldPosition="0">
        <references count="1">
          <reference field="0" count="1">
            <x v="57"/>
          </reference>
        </references>
      </pivotArea>
    </format>
    <format dxfId="72">
      <pivotArea collapsedLevelsAreSubtotals="1" fieldPosition="0">
        <references count="1">
          <reference field="0" count="1">
            <x v="21"/>
          </reference>
        </references>
      </pivotArea>
    </format>
    <format dxfId="71">
      <pivotArea collapsedLevelsAreSubtotals="1" fieldPosition="0">
        <references count="1">
          <reference field="0" count="1">
            <x v="22"/>
          </reference>
        </references>
      </pivotArea>
    </format>
    <format dxfId="70">
      <pivotArea collapsedLevelsAreSubtotals="1" fieldPosition="0">
        <references count="1">
          <reference field="0" count="1">
            <x v="24"/>
          </reference>
        </references>
      </pivotArea>
    </format>
    <format dxfId="69">
      <pivotArea collapsedLevelsAreSubtotals="1" fieldPosition="0">
        <references count="1">
          <reference field="0" count="1">
            <x v="29"/>
          </reference>
        </references>
      </pivotArea>
    </format>
    <format dxfId="68">
      <pivotArea collapsedLevelsAreSubtotals="1" fieldPosition="0">
        <references count="1">
          <reference field="0" count="1">
            <x v="38"/>
          </reference>
        </references>
      </pivotArea>
    </format>
    <format dxfId="67">
      <pivotArea collapsedLevelsAreSubtotals="1" fieldPosition="0">
        <references count="1">
          <reference field="0" count="1">
            <x v="14"/>
          </reference>
        </references>
      </pivotArea>
    </format>
    <format dxfId="66">
      <pivotArea collapsedLevelsAreSubtotals="1" fieldPosition="0">
        <references count="1">
          <reference field="0" count="1">
            <x v="16"/>
          </reference>
        </references>
      </pivotArea>
    </format>
    <format dxfId="65">
      <pivotArea collapsedLevelsAreSubtotals="1" fieldPosition="0">
        <references count="1">
          <reference field="0" count="1">
            <x v="25"/>
          </reference>
        </references>
      </pivotArea>
    </format>
    <format dxfId="64">
      <pivotArea collapsedLevelsAreSubtotals="1" fieldPosition="0">
        <references count="1">
          <reference field="0" count="1">
            <x v="26"/>
          </reference>
        </references>
      </pivotArea>
    </format>
    <format dxfId="63">
      <pivotArea collapsedLevelsAreSubtotals="1" fieldPosition="0">
        <references count="1">
          <reference field="0" count="1">
            <x v="27"/>
          </reference>
        </references>
      </pivotArea>
    </format>
    <format dxfId="62">
      <pivotArea collapsedLevelsAreSubtotals="1" fieldPosition="0">
        <references count="1">
          <reference field="0" count="1">
            <x v="42"/>
          </reference>
        </references>
      </pivotArea>
    </format>
    <format dxfId="61">
      <pivotArea collapsedLevelsAreSubtotals="1" fieldPosition="0">
        <references count="1">
          <reference field="0" count="1">
            <x v="0"/>
          </reference>
        </references>
      </pivotArea>
    </format>
    <format dxfId="60">
      <pivotArea collapsedLevelsAreSubtotals="1" fieldPosition="0">
        <references count="1">
          <reference field="0" count="1">
            <x v="7"/>
          </reference>
        </references>
      </pivotArea>
    </format>
    <format dxfId="59">
      <pivotArea collapsedLevelsAreSubtotals="1" fieldPosition="0">
        <references count="1">
          <reference field="0" count="1">
            <x v="36"/>
          </reference>
        </references>
      </pivotArea>
    </format>
    <format dxfId="58">
      <pivotArea collapsedLevelsAreSubtotals="1" fieldPosition="0">
        <references count="1">
          <reference field="0" count="1">
            <x v="1"/>
          </reference>
        </references>
      </pivotArea>
    </format>
    <format dxfId="57">
      <pivotArea collapsedLevelsAreSubtotals="1" fieldPosition="0">
        <references count="1">
          <reference field="0" count="1">
            <x v="2"/>
          </reference>
        </references>
      </pivotArea>
    </format>
    <format dxfId="56">
      <pivotArea collapsedLevelsAreSubtotals="1" fieldPosition="0">
        <references count="1">
          <reference field="0" count="1">
            <x v="5"/>
          </reference>
        </references>
      </pivotArea>
    </format>
    <format dxfId="55">
      <pivotArea collapsedLevelsAreSubtotals="1" fieldPosition="0">
        <references count="1">
          <reference field="0" count="1">
            <x v="6"/>
          </reference>
        </references>
      </pivotArea>
    </format>
    <format dxfId="54">
      <pivotArea collapsedLevelsAreSubtotals="1" fieldPosition="0">
        <references count="1">
          <reference field="0" count="1">
            <x v="9"/>
          </reference>
        </references>
      </pivotArea>
    </format>
    <format dxfId="53">
      <pivotArea collapsedLevelsAreSubtotals="1" fieldPosition="0">
        <references count="1">
          <reference field="0" count="1">
            <x v="11"/>
          </reference>
        </references>
      </pivotArea>
    </format>
    <format dxfId="52">
      <pivotArea collapsedLevelsAreSubtotals="1" fieldPosition="0">
        <references count="1">
          <reference field="0" count="1">
            <x v="50"/>
          </reference>
        </references>
      </pivotArea>
    </format>
    <format dxfId="51">
      <pivotArea collapsedLevelsAreSubtotals="1" fieldPosition="0">
        <references count="1">
          <reference field="0" count="1">
            <x v="52"/>
          </reference>
        </references>
      </pivotArea>
    </format>
    <format dxfId="50">
      <pivotArea collapsedLevelsAreSubtotals="1" fieldPosition="0">
        <references count="1">
          <reference field="0" count="1">
            <x v="4"/>
          </reference>
        </references>
      </pivotArea>
    </format>
    <format dxfId="49">
      <pivotArea collapsedLevelsAreSubtotals="1" fieldPosition="0">
        <references count="1">
          <reference field="0" count="1">
            <x v="12"/>
          </reference>
        </references>
      </pivotArea>
    </format>
    <format dxfId="48">
      <pivotArea collapsedLevelsAreSubtotals="1" fieldPosition="0">
        <references count="1">
          <reference field="0" count="1">
            <x v="35"/>
          </reference>
        </references>
      </pivotArea>
    </format>
    <format dxfId="47">
      <pivotArea collapsedLevelsAreSubtotals="1" fieldPosition="0">
        <references count="1">
          <reference field="0" count="1">
            <x v="43"/>
          </reference>
        </references>
      </pivotArea>
    </format>
    <format dxfId="46">
      <pivotArea collapsedLevelsAreSubtotals="1" fieldPosition="0">
        <references count="1">
          <reference field="0" count="1">
            <x v="46"/>
          </reference>
        </references>
      </pivotArea>
    </format>
    <format dxfId="45">
      <pivotArea collapsedLevelsAreSubtotals="1" fieldPosition="0">
        <references count="1">
          <reference field="0" count="1">
            <x v="49"/>
          </reference>
        </references>
      </pivotArea>
    </format>
    <format dxfId="44">
      <pivotArea collapsedLevelsAreSubtotals="1" fieldPosition="0">
        <references count="1">
          <reference field="0" count="1">
            <x v="53"/>
          </reference>
        </references>
      </pivotArea>
    </format>
    <format dxfId="43">
      <pivotArea collapsedLevelsAreSubtotals="1" fieldPosition="0">
        <references count="1">
          <reference field="0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数据透视表2" cacheId="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3:B38" firstHeaderRow="1" firstDataRow="1" firstDataCol="1"/>
  <pivotFields count="2">
    <pivotField axis="axisRow" compact="0" showAll="0">
      <items count="35">
        <item x="9"/>
        <item x="10"/>
        <item x="11"/>
        <item x="12"/>
        <item x="5"/>
        <item x="6"/>
        <item x="4"/>
        <item x="8"/>
        <item x="1"/>
        <item x="15"/>
        <item x="2"/>
        <item x="7"/>
        <item x="3"/>
        <item x="0"/>
        <item x="16"/>
        <item x="17"/>
        <item x="18"/>
        <item x="20"/>
        <item x="26"/>
        <item x="23"/>
        <item x="19"/>
        <item x="27"/>
        <item x="13"/>
        <item x="14"/>
        <item x="33"/>
        <item x="24"/>
        <item x="25"/>
        <item x="28"/>
        <item x="29"/>
        <item x="30"/>
        <item x="31"/>
        <item x="21"/>
        <item x="32"/>
        <item x="22"/>
        <item t="default"/>
      </items>
    </pivotField>
    <pivotField dataField="1" compact="0" showAll="0">
      <items count="29">
        <item x="8"/>
        <item x="22"/>
        <item x="20"/>
        <item x="21"/>
        <item x="24"/>
        <item x="27"/>
        <item x="26"/>
        <item x="3"/>
        <item x="5"/>
        <item x="23"/>
        <item x="6"/>
        <item x="11"/>
        <item x="4"/>
        <item x="0"/>
        <item x="16"/>
        <item x="10"/>
        <item x="25"/>
        <item x="18"/>
        <item x="19"/>
        <item x="14"/>
        <item x="17"/>
        <item x="13"/>
        <item x="7"/>
        <item x="9"/>
        <item x="1"/>
        <item x="2"/>
        <item x="12"/>
        <item x="15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求和项:件数" fld="1" baseField="0" baseItem="0"/>
  </dataFields>
  <formats count="34">
    <format dxfId="40">
      <pivotArea collapsedLevelsAreSubtotals="1" fieldPosition="0">
        <references count="1">
          <reference field="0" count="1" selected="0">
            <x v="1"/>
          </reference>
        </references>
      </pivotArea>
    </format>
    <format dxfId="39">
      <pivotArea collapsedLevelsAreSubtotals="1" fieldPosition="0">
        <references count="1">
          <reference field="0" count="1" selected="0">
            <x v="2"/>
          </reference>
        </references>
      </pivotArea>
    </format>
    <format dxfId="38">
      <pivotArea collapsedLevelsAreSubtotals="1" fieldPosition="0">
        <references count="1">
          <reference field="0" count="1" selected="0">
            <x v="3"/>
          </reference>
        </references>
      </pivotArea>
    </format>
    <format dxfId="37">
      <pivotArea collapsedLevelsAreSubtotals="1" fieldPosition="0">
        <references count="1">
          <reference field="0" count="1" selected="0">
            <x v="4"/>
          </reference>
        </references>
      </pivotArea>
    </format>
    <format dxfId="36">
      <pivotArea collapsedLevelsAreSubtotals="1" fieldPosition="0">
        <references count="1">
          <reference field="0" count="1" selected="0">
            <x v="5"/>
          </reference>
        </references>
      </pivotArea>
    </format>
    <format dxfId="35">
      <pivotArea collapsedLevelsAreSubtotals="1" fieldPosition="0">
        <references count="1">
          <reference field="0" count="1" selected="0">
            <x v="6"/>
          </reference>
        </references>
      </pivotArea>
    </format>
    <format dxfId="34">
      <pivotArea collapsedLevelsAreSubtotals="1" fieldPosition="0">
        <references count="1">
          <reference field="0" count="1" selected="0">
            <x v="14"/>
          </reference>
        </references>
      </pivotArea>
    </format>
    <format dxfId="33">
      <pivotArea collapsedLevelsAreSubtotals="1" fieldPosition="0">
        <references count="1">
          <reference field="0" count="1" selected="0">
            <x v="15"/>
          </reference>
        </references>
      </pivotArea>
    </format>
    <format dxfId="32">
      <pivotArea collapsedLevelsAreSubtotals="1" fieldPosition="0">
        <references count="1">
          <reference field="0" count="1" selected="0">
            <x v="16"/>
          </reference>
        </references>
      </pivotArea>
    </format>
    <format dxfId="31">
      <pivotArea collapsedLevelsAreSubtotals="1" fieldPosition="0">
        <references count="1">
          <reference field="0" count="1" selected="0">
            <x v="17"/>
          </reference>
        </references>
      </pivotArea>
    </format>
    <format dxfId="30">
      <pivotArea collapsedLevelsAreSubtotals="1" fieldPosition="0">
        <references count="1">
          <reference field="0" count="1" selected="0">
            <x v="18"/>
          </reference>
        </references>
      </pivotArea>
    </format>
    <format dxfId="29">
      <pivotArea collapsedLevelsAreSubtotals="1" fieldPosition="0">
        <references count="1">
          <reference field="0" count="1" selected="0">
            <x v="19"/>
          </reference>
        </references>
      </pivotArea>
    </format>
    <format dxfId="28">
      <pivotArea collapsedLevelsAreSubtotals="1" fieldPosition="0">
        <references count="1">
          <reference field="0" count="1" selected="0">
            <x v="7"/>
          </reference>
        </references>
      </pivotArea>
    </format>
    <format dxfId="27">
      <pivotArea collapsedLevelsAreSubtotals="1" fieldPosition="0">
        <references count="1">
          <reference field="0" count="1" selected="0">
            <x v="9"/>
          </reference>
        </references>
      </pivotArea>
    </format>
    <format dxfId="26">
      <pivotArea collapsedLevelsAreSubtotals="1" fieldPosition="0">
        <references count="1">
          <reference field="0" count="1" selected="0">
            <x v="11"/>
          </reference>
        </references>
      </pivotArea>
    </format>
    <format dxfId="25">
      <pivotArea collapsedLevelsAreSubtotals="1" fieldPosition="0">
        <references count="1">
          <reference field="0" count="1" selected="0">
            <x v="13"/>
          </reference>
        </references>
      </pivotArea>
    </format>
    <format dxfId="24">
      <pivotArea collapsedLevelsAreSubtotals="1" fieldPosition="0">
        <references count="1">
          <reference field="0" count="1" selected="0">
            <x v="8"/>
          </reference>
        </references>
      </pivotArea>
    </format>
    <format dxfId="23">
      <pivotArea collapsedLevelsAreSubtotals="1" fieldPosition="0">
        <references count="1">
          <reference field="0" count="1" selected="0">
            <x v="10"/>
          </reference>
        </references>
      </pivotArea>
    </format>
    <format dxfId="22">
      <pivotArea collapsedLevelsAreSubtotals="1" fieldPosition="0">
        <references count="1">
          <reference field="0" count="1" selected="0">
            <x v="12"/>
          </reference>
        </references>
      </pivotArea>
    </format>
    <format dxfId="21">
      <pivotArea collapsedLevelsAreSubtotals="1" fieldPosition="0">
        <references count="1">
          <reference field="0" count="1" selected="0">
            <x v="0"/>
          </reference>
        </references>
      </pivotArea>
    </format>
    <format dxfId="20">
      <pivotArea collapsedLevelsAreSubtotals="1" fieldPosition="0">
        <references count="1">
          <reference field="0" count="1" selected="0">
            <x v="20"/>
          </reference>
        </references>
      </pivotArea>
    </format>
    <format dxfId="19">
      <pivotArea collapsedLevelsAreSubtotals="1" fieldPosition="0">
        <references count="1">
          <reference field="0" count="1" selected="0">
            <x v="21"/>
          </reference>
        </references>
      </pivotArea>
    </format>
    <format dxfId="18">
      <pivotArea collapsedLevelsAreSubtotals="1" fieldPosition="0">
        <references count="1">
          <reference field="0" count="1" selected="0">
            <x v="22"/>
          </reference>
        </references>
      </pivotArea>
    </format>
    <format dxfId="17">
      <pivotArea collapsedLevelsAreSubtotals="1" fieldPosition="0">
        <references count="1">
          <reference field="0" count="1" selected="0">
            <x v="23"/>
          </reference>
        </references>
      </pivotArea>
    </format>
    <format dxfId="16">
      <pivotArea collapsedLevelsAreSubtotals="1" fieldPosition="0">
        <references count="1">
          <reference field="0" count="1" selected="0">
            <x v="24"/>
          </reference>
        </references>
      </pivotArea>
    </format>
    <format dxfId="15">
      <pivotArea collapsedLevelsAreSubtotals="1" fieldPosition="0">
        <references count="1">
          <reference field="0" count="1" selected="0">
            <x v="25"/>
          </reference>
        </references>
      </pivotArea>
    </format>
    <format dxfId="14">
      <pivotArea collapsedLevelsAreSubtotals="1" fieldPosition="0">
        <references count="1">
          <reference field="0" count="1" selected="0">
            <x v="26"/>
          </reference>
        </references>
      </pivotArea>
    </format>
    <format dxfId="13">
      <pivotArea collapsedLevelsAreSubtotals="1" fieldPosition="0">
        <references count="1">
          <reference field="0" count="1" selected="0">
            <x v="27"/>
          </reference>
        </references>
      </pivotArea>
    </format>
    <format dxfId="12">
      <pivotArea collapsedLevelsAreSubtotals="1" fieldPosition="0">
        <references count="1">
          <reference field="0" count="1" selected="0">
            <x v="28"/>
          </reference>
        </references>
      </pivotArea>
    </format>
    <format dxfId="11">
      <pivotArea collapsedLevelsAreSubtotals="1" fieldPosition="0">
        <references count="1">
          <reference field="0" count="1" selected="0">
            <x v="29"/>
          </reference>
        </references>
      </pivotArea>
    </format>
    <format dxfId="10">
      <pivotArea collapsedLevelsAreSubtotals="1" fieldPosition="0">
        <references count="1">
          <reference field="0" count="1" selected="0">
            <x v="30"/>
          </reference>
        </references>
      </pivotArea>
    </format>
    <format dxfId="9">
      <pivotArea collapsedLevelsAreSubtotals="1" fieldPosition="0">
        <references count="1">
          <reference field="0" count="1" selected="0">
            <x v="31"/>
          </reference>
        </references>
      </pivotArea>
    </format>
    <format dxfId="8">
      <pivotArea collapsedLevelsAreSubtotals="1" fieldPosition="0">
        <references count="1">
          <reference field="0" count="1" selected="0">
            <x v="32"/>
          </reference>
        </references>
      </pivotArea>
    </format>
    <format dxfId="7">
      <pivotArea collapsedLevelsAreSubtotals="1" fieldPosition="0">
        <references count="1">
          <reference field="0" count="1" selected="0"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C2:D26" totalsRowShown="0">
  <autoFilter ref="C2:D26" xr:uid="{00000000-0009-0000-0100-000002000000}"/>
  <tableColumns count="2">
    <tableColumn id="1" xr3:uid="{00000000-0010-0000-0000-000001000000}" name="货号" dataDxfId="99"/>
    <tableColumn id="2" xr3:uid="{00000000-0010-0000-0000-000002000000}" name="件数" dataDxfId="9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1" displayName="表1" ref="B1:C78" totalsRowShown="0">
  <autoFilter ref="B1:C78" xr:uid="{00000000-0009-0000-0100-000001000000}"/>
  <tableColumns count="2">
    <tableColumn id="1" xr3:uid="{00000000-0010-0000-0100-000001000000}" name="货号" dataDxfId="42"/>
    <tableColumn id="2" xr3:uid="{00000000-0010-0000-0100-000002000000}" name="件数" dataDxfId="4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78AF-B160-4DE9-B9CA-365B4EECB282}">
  <dimension ref="A2:N12"/>
  <sheetViews>
    <sheetView tabSelected="1" workbookViewId="0">
      <selection activeCell="I19" sqref="I19"/>
    </sheetView>
  </sheetViews>
  <sheetFormatPr defaultRowHeight="14.25"/>
  <cols>
    <col min="1" max="1" width="13.125" bestFit="1" customWidth="1"/>
    <col min="2" max="2" width="12.625" bestFit="1" customWidth="1"/>
    <col min="3" max="3" width="14.625" bestFit="1" customWidth="1"/>
    <col min="4" max="4" width="11.375" bestFit="1" customWidth="1"/>
    <col min="5" max="5" width="18" bestFit="1" customWidth="1"/>
    <col min="6" max="6" width="10.625" bestFit="1" customWidth="1"/>
    <col min="7" max="7" width="27.625" bestFit="1" customWidth="1"/>
    <col min="8" max="8" width="19.625" bestFit="1" customWidth="1"/>
    <col min="9" max="9" width="15.5" bestFit="1" customWidth="1"/>
    <col min="10" max="10" width="26.125" bestFit="1" customWidth="1"/>
    <col min="11" max="11" width="11.25" bestFit="1" customWidth="1"/>
    <col min="12" max="12" width="15.5" bestFit="1" customWidth="1"/>
    <col min="13" max="13" width="16.125" bestFit="1" customWidth="1"/>
    <col min="14" max="14" width="10.5" bestFit="1" customWidth="1"/>
  </cols>
  <sheetData>
    <row r="2" spans="1:14" ht="18">
      <c r="A2" s="83" t="s">
        <v>2</v>
      </c>
      <c r="B2" s="83" t="s">
        <v>265</v>
      </c>
      <c r="C2" s="83" t="s">
        <v>266</v>
      </c>
      <c r="D2" s="83" t="s">
        <v>5</v>
      </c>
      <c r="E2" s="83" t="s">
        <v>6</v>
      </c>
      <c r="F2" s="83" t="s">
        <v>7</v>
      </c>
      <c r="G2" s="83" t="s">
        <v>267</v>
      </c>
      <c r="H2" s="83" t="s">
        <v>268</v>
      </c>
      <c r="I2" s="74" t="s">
        <v>269</v>
      </c>
      <c r="J2" s="83" t="s">
        <v>271</v>
      </c>
      <c r="K2" s="83" t="s">
        <v>272</v>
      </c>
      <c r="L2" s="83" t="s">
        <v>273</v>
      </c>
      <c r="M2" s="85" t="s">
        <v>274</v>
      </c>
      <c r="N2" s="87" t="s">
        <v>275</v>
      </c>
    </row>
    <row r="3" spans="1:14" ht="18">
      <c r="A3" s="84"/>
      <c r="B3" s="84"/>
      <c r="C3" s="84"/>
      <c r="D3" s="84"/>
      <c r="E3" s="84"/>
      <c r="F3" s="84"/>
      <c r="G3" s="84"/>
      <c r="H3" s="84"/>
      <c r="I3" s="75" t="s">
        <v>270</v>
      </c>
      <c r="J3" s="84"/>
      <c r="K3" s="84"/>
      <c r="L3" s="84"/>
      <c r="M3" s="86"/>
      <c r="N3" s="88"/>
    </row>
    <row r="4" spans="1:14" ht="18">
      <c r="A4" s="77">
        <v>1</v>
      </c>
      <c r="B4" s="78">
        <v>46098</v>
      </c>
      <c r="C4" s="77" t="s">
        <v>16</v>
      </c>
      <c r="D4" s="79">
        <v>63900950</v>
      </c>
      <c r="E4" s="77" t="s">
        <v>17</v>
      </c>
      <c r="F4" s="77" t="s">
        <v>18</v>
      </c>
      <c r="G4" s="77" t="s">
        <v>19</v>
      </c>
      <c r="H4" s="77" t="s">
        <v>20</v>
      </c>
      <c r="I4" s="77">
        <v>450</v>
      </c>
      <c r="J4" s="77">
        <v>4</v>
      </c>
      <c r="K4" s="77">
        <v>1800</v>
      </c>
      <c r="L4" s="77" t="s">
        <v>21</v>
      </c>
      <c r="M4" s="77" t="s">
        <v>33</v>
      </c>
      <c r="N4" s="80">
        <v>12.26</v>
      </c>
    </row>
    <row r="5" spans="1:14" ht="18">
      <c r="A5" s="77">
        <v>2</v>
      </c>
      <c r="B5" s="78">
        <v>46098</v>
      </c>
      <c r="C5" s="77" t="s">
        <v>16</v>
      </c>
      <c r="D5" s="79">
        <v>63900950</v>
      </c>
      <c r="E5" s="77" t="s">
        <v>17</v>
      </c>
      <c r="F5" s="77" t="s">
        <v>18</v>
      </c>
      <c r="G5" s="77" t="s">
        <v>19</v>
      </c>
      <c r="H5" s="77" t="s">
        <v>20</v>
      </c>
      <c r="I5" s="77">
        <v>600</v>
      </c>
      <c r="J5" s="77">
        <v>1</v>
      </c>
      <c r="K5" s="77">
        <v>600</v>
      </c>
      <c r="L5" s="77" t="s">
        <v>22</v>
      </c>
      <c r="M5" s="77" t="s">
        <v>33</v>
      </c>
      <c r="N5" s="80">
        <v>12.26</v>
      </c>
    </row>
    <row r="6" spans="1:14" ht="18">
      <c r="A6" s="77">
        <v>3</v>
      </c>
      <c r="B6" s="78">
        <v>46098</v>
      </c>
      <c r="C6" s="77" t="s">
        <v>16</v>
      </c>
      <c r="D6" s="79">
        <v>63900950</v>
      </c>
      <c r="E6" s="77" t="s">
        <v>23</v>
      </c>
      <c r="F6" s="77" t="s">
        <v>18</v>
      </c>
      <c r="G6" s="77" t="s">
        <v>24</v>
      </c>
      <c r="H6" s="77" t="s">
        <v>25</v>
      </c>
      <c r="I6" s="77">
        <v>450</v>
      </c>
      <c r="J6" s="77">
        <v>3</v>
      </c>
      <c r="K6" s="77">
        <v>1350</v>
      </c>
      <c r="L6" s="77" t="s">
        <v>26</v>
      </c>
      <c r="M6" s="77" t="s">
        <v>33</v>
      </c>
      <c r="N6" s="80">
        <v>12.26</v>
      </c>
    </row>
    <row r="7" spans="1:14" ht="18">
      <c r="A7" s="77">
        <v>4</v>
      </c>
      <c r="B7" s="78">
        <v>46098</v>
      </c>
      <c r="C7" s="77" t="s">
        <v>16</v>
      </c>
      <c r="D7" s="79">
        <v>63900950</v>
      </c>
      <c r="E7" s="77" t="s">
        <v>23</v>
      </c>
      <c r="F7" s="77" t="s">
        <v>18</v>
      </c>
      <c r="G7" s="77" t="s">
        <v>24</v>
      </c>
      <c r="H7" s="77" t="s">
        <v>25</v>
      </c>
      <c r="I7" s="77">
        <v>400</v>
      </c>
      <c r="J7" s="77">
        <v>1</v>
      </c>
      <c r="K7" s="77">
        <v>400</v>
      </c>
      <c r="L7" s="77" t="s">
        <v>27</v>
      </c>
      <c r="M7" s="77" t="s">
        <v>33</v>
      </c>
      <c r="N7" s="80">
        <v>12.26</v>
      </c>
    </row>
    <row r="8" spans="1:14" ht="18">
      <c r="A8" s="77">
        <v>5</v>
      </c>
      <c r="B8" s="78">
        <v>46098</v>
      </c>
      <c r="C8" s="77" t="s">
        <v>16</v>
      </c>
      <c r="D8" s="79">
        <v>63900950</v>
      </c>
      <c r="E8" s="77" t="s">
        <v>28</v>
      </c>
      <c r="F8" s="77" t="s">
        <v>18</v>
      </c>
      <c r="G8" s="77" t="s">
        <v>29</v>
      </c>
      <c r="H8" s="77" t="s">
        <v>30</v>
      </c>
      <c r="I8" s="77">
        <v>820</v>
      </c>
      <c r="J8" s="77">
        <v>1</v>
      </c>
      <c r="K8" s="77">
        <v>820</v>
      </c>
      <c r="L8" s="77" t="s">
        <v>31</v>
      </c>
      <c r="M8" s="77" t="s">
        <v>33</v>
      </c>
      <c r="N8" s="80">
        <v>12.26</v>
      </c>
    </row>
    <row r="9" spans="1:14" ht="18">
      <c r="A9" s="77">
        <v>6</v>
      </c>
      <c r="B9" s="78">
        <v>46098</v>
      </c>
      <c r="C9" s="77" t="s">
        <v>16</v>
      </c>
      <c r="D9" s="79">
        <v>63900950</v>
      </c>
      <c r="E9" s="77" t="s">
        <v>28</v>
      </c>
      <c r="F9" s="77" t="s">
        <v>18</v>
      </c>
      <c r="G9" s="77" t="s">
        <v>29</v>
      </c>
      <c r="H9" s="77" t="s">
        <v>30</v>
      </c>
      <c r="I9" s="77">
        <v>1500</v>
      </c>
      <c r="J9" s="77">
        <v>1</v>
      </c>
      <c r="K9" s="77">
        <v>1500</v>
      </c>
      <c r="L9" s="77" t="s">
        <v>32</v>
      </c>
      <c r="M9" s="77" t="s">
        <v>33</v>
      </c>
      <c r="N9" s="80">
        <v>12.26</v>
      </c>
    </row>
    <row r="10" spans="1:14" ht="27">
      <c r="A10" s="43"/>
      <c r="B10" s="81" t="s">
        <v>276</v>
      </c>
      <c r="C10" s="81" t="s">
        <v>276</v>
      </c>
      <c r="D10" s="81" t="s">
        <v>276</v>
      </c>
      <c r="E10" s="81" t="s">
        <v>276</v>
      </c>
      <c r="F10" s="81" t="s">
        <v>276</v>
      </c>
      <c r="G10" s="81" t="s">
        <v>276</v>
      </c>
      <c r="H10" s="81" t="s">
        <v>276</v>
      </c>
      <c r="I10" s="81" t="s">
        <v>276</v>
      </c>
      <c r="J10" s="81" t="s">
        <v>276</v>
      </c>
      <c r="K10" s="81" t="s">
        <v>276</v>
      </c>
      <c r="L10" s="81" t="s">
        <v>276</v>
      </c>
      <c r="M10" s="81" t="s">
        <v>276</v>
      </c>
      <c r="N10" s="81" t="s">
        <v>276</v>
      </c>
    </row>
    <row r="11" spans="1:14">
      <c r="A11" s="43" t="s">
        <v>277</v>
      </c>
      <c r="B11" s="76" t="s">
        <v>278</v>
      </c>
      <c r="C11" s="76" t="s">
        <v>278</v>
      </c>
      <c r="D11" s="82" t="s">
        <v>279</v>
      </c>
      <c r="E11" s="76" t="s">
        <v>278</v>
      </c>
      <c r="F11" s="82" t="s">
        <v>279</v>
      </c>
      <c r="G11" s="82" t="s">
        <v>279</v>
      </c>
      <c r="H11" s="76" t="s">
        <v>278</v>
      </c>
      <c r="I11" s="76" t="s">
        <v>278</v>
      </c>
      <c r="J11" s="82" t="s">
        <v>279</v>
      </c>
      <c r="K11" s="82" t="s">
        <v>279</v>
      </c>
      <c r="L11" s="76" t="s">
        <v>278</v>
      </c>
      <c r="M11" s="76" t="s">
        <v>278</v>
      </c>
      <c r="N11" s="76" t="s">
        <v>278</v>
      </c>
    </row>
    <row r="12" spans="1:14">
      <c r="A12" s="43"/>
      <c r="B12" s="43"/>
      <c r="C12" s="43"/>
      <c r="D12" s="43"/>
      <c r="E12" s="43"/>
      <c r="F12" s="43"/>
      <c r="G12" s="43"/>
      <c r="H12" s="43"/>
      <c r="I12" s="43"/>
      <c r="J12" s="43" t="s">
        <v>280</v>
      </c>
      <c r="K12" s="43"/>
      <c r="L12" s="43"/>
      <c r="M12" s="43"/>
    </row>
  </sheetData>
  <mergeCells count="13">
    <mergeCell ref="N2:N3"/>
    <mergeCell ref="A2:A3"/>
    <mergeCell ref="B2:B3"/>
    <mergeCell ref="C2:C3"/>
    <mergeCell ref="D2:D3"/>
    <mergeCell ref="E2:E3"/>
    <mergeCell ref="F2:F3"/>
    <mergeCell ref="G2:G3"/>
    <mergeCell ref="H2:H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showGridLines="0" zoomScale="55" zoomScaleNormal="55" workbookViewId="0">
      <selection activeCell="K33" sqref="K33"/>
    </sheetView>
  </sheetViews>
  <sheetFormatPr defaultColWidth="9" defaultRowHeight="14.25"/>
  <cols>
    <col min="1" max="1" width="12.75" style="43" customWidth="1"/>
    <col min="2" max="2" width="14.5" style="43" customWidth="1"/>
    <col min="3" max="3" width="23.5" style="43" customWidth="1"/>
    <col min="4" max="4" width="18.875" style="43" customWidth="1"/>
    <col min="5" max="6" width="24.125" style="43" customWidth="1"/>
    <col min="7" max="7" width="38.25" style="43" customWidth="1"/>
    <col min="8" max="8" width="38.5" style="43" customWidth="1"/>
    <col min="9" max="9" width="24" style="43" customWidth="1"/>
    <col min="10" max="10" width="12.625" style="43" customWidth="1"/>
    <col min="11" max="11" width="13.75" style="43" customWidth="1"/>
    <col min="12" max="12" width="16" style="43" customWidth="1"/>
    <col min="13" max="13" width="20.25" style="43" customWidth="1"/>
  </cols>
  <sheetData>
    <row r="1" spans="1:13" ht="74.650000000000006" customHeight="1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s="48" customFormat="1" ht="63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3" ht="20.25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3" ht="26.1" customHeight="1">
      <c r="A5" s="23">
        <v>1</v>
      </c>
      <c r="B5" s="24"/>
      <c r="C5" s="23" t="s">
        <v>16</v>
      </c>
      <c r="D5" s="66">
        <v>63900950</v>
      </c>
      <c r="E5" s="23" t="s">
        <v>17</v>
      </c>
      <c r="F5" s="23" t="s">
        <v>18</v>
      </c>
      <c r="G5" s="23" t="s">
        <v>19</v>
      </c>
      <c r="H5" s="23" t="s">
        <v>20</v>
      </c>
      <c r="I5" s="23">
        <f t="shared" ref="I5:I10" si="0">K5/J5</f>
        <v>450</v>
      </c>
      <c r="J5" s="23">
        <v>4</v>
      </c>
      <c r="K5" s="23">
        <v>1800</v>
      </c>
      <c r="L5" s="23" t="s">
        <v>21</v>
      </c>
      <c r="M5" s="23"/>
    </row>
    <row r="6" spans="1:13" ht="26.1" customHeight="1">
      <c r="A6" s="23">
        <v>2</v>
      </c>
      <c r="B6" s="24"/>
      <c r="C6" s="23" t="s">
        <v>16</v>
      </c>
      <c r="D6" s="67"/>
      <c r="E6" s="23" t="s">
        <v>17</v>
      </c>
      <c r="F6" s="23" t="s">
        <v>18</v>
      </c>
      <c r="G6" s="23" t="s">
        <v>19</v>
      </c>
      <c r="H6" s="23" t="s">
        <v>20</v>
      </c>
      <c r="I6" s="23">
        <f t="shared" si="0"/>
        <v>600</v>
      </c>
      <c r="J6" s="23">
        <v>1</v>
      </c>
      <c r="K6" s="23">
        <v>600</v>
      </c>
      <c r="L6" s="23" t="s">
        <v>22</v>
      </c>
      <c r="M6" s="23"/>
    </row>
    <row r="7" spans="1:13" ht="26.1" customHeight="1">
      <c r="A7" s="23">
        <v>3</v>
      </c>
      <c r="B7" s="24"/>
      <c r="C7" s="23" t="s">
        <v>16</v>
      </c>
      <c r="D7" s="67"/>
      <c r="E7" s="23" t="s">
        <v>23</v>
      </c>
      <c r="F7" s="23" t="s">
        <v>18</v>
      </c>
      <c r="G7" s="23" t="s">
        <v>24</v>
      </c>
      <c r="H7" s="23" t="s">
        <v>25</v>
      </c>
      <c r="I7" s="23">
        <f t="shared" si="0"/>
        <v>450</v>
      </c>
      <c r="J7" s="23">
        <v>3</v>
      </c>
      <c r="K7" s="23">
        <v>1350</v>
      </c>
      <c r="L7" s="23" t="s">
        <v>26</v>
      </c>
      <c r="M7" s="23"/>
    </row>
    <row r="8" spans="1:13" ht="26.1" customHeight="1">
      <c r="A8" s="23">
        <v>4</v>
      </c>
      <c r="B8" s="24"/>
      <c r="C8" s="23" t="s">
        <v>16</v>
      </c>
      <c r="D8" s="67"/>
      <c r="E8" s="23" t="s">
        <v>23</v>
      </c>
      <c r="F8" s="23" t="s">
        <v>18</v>
      </c>
      <c r="G8" s="23" t="s">
        <v>24</v>
      </c>
      <c r="H8" s="23" t="s">
        <v>25</v>
      </c>
      <c r="I8" s="23">
        <f t="shared" si="0"/>
        <v>400</v>
      </c>
      <c r="J8" s="23">
        <v>1</v>
      </c>
      <c r="K8" s="23">
        <v>400</v>
      </c>
      <c r="L8" s="23" t="s">
        <v>27</v>
      </c>
      <c r="M8" s="23"/>
    </row>
    <row r="9" spans="1:13" ht="26.1" customHeight="1">
      <c r="A9" s="23">
        <v>5</v>
      </c>
      <c r="B9" s="24"/>
      <c r="C9" s="23" t="s">
        <v>16</v>
      </c>
      <c r="D9" s="67"/>
      <c r="E9" s="23" t="s">
        <v>28</v>
      </c>
      <c r="F9" s="23" t="s">
        <v>18</v>
      </c>
      <c r="G9" s="23" t="s">
        <v>29</v>
      </c>
      <c r="H9" s="23" t="s">
        <v>30</v>
      </c>
      <c r="I9" s="23">
        <f t="shared" si="0"/>
        <v>820</v>
      </c>
      <c r="J9" s="23">
        <v>1</v>
      </c>
      <c r="K9" s="23">
        <v>820</v>
      </c>
      <c r="L9" s="23" t="s">
        <v>31</v>
      </c>
      <c r="M9" s="23"/>
    </row>
    <row r="10" spans="1:13" ht="26.1" customHeight="1">
      <c r="A10" s="23">
        <v>6</v>
      </c>
      <c r="B10" s="24"/>
      <c r="C10" s="23" t="s">
        <v>16</v>
      </c>
      <c r="D10" s="67"/>
      <c r="E10" s="23" t="s">
        <v>28</v>
      </c>
      <c r="F10" s="23" t="s">
        <v>18</v>
      </c>
      <c r="G10" s="23" t="s">
        <v>29</v>
      </c>
      <c r="H10" s="23" t="s">
        <v>30</v>
      </c>
      <c r="I10" s="23">
        <f t="shared" si="0"/>
        <v>1500</v>
      </c>
      <c r="J10" s="23">
        <v>1</v>
      </c>
      <c r="K10" s="23">
        <v>1500</v>
      </c>
      <c r="L10" s="23" t="s">
        <v>32</v>
      </c>
      <c r="M10" s="23"/>
    </row>
    <row r="11" spans="1:13" ht="61.7" customHeight="1">
      <c r="A11" s="23"/>
      <c r="B11" s="23"/>
      <c r="C11" s="62" t="s">
        <v>33</v>
      </c>
      <c r="D11" s="63"/>
      <c r="E11" s="63"/>
      <c r="F11" s="63"/>
      <c r="G11" s="63"/>
      <c r="H11" s="63"/>
      <c r="I11" s="64"/>
      <c r="J11" s="25"/>
      <c r="K11" s="26"/>
      <c r="L11" s="27"/>
      <c r="M11" s="28"/>
    </row>
    <row r="12" spans="1:13" ht="35.1" customHeight="1">
      <c r="A12" s="23"/>
      <c r="B12" s="23"/>
      <c r="C12" s="49" t="s">
        <v>34</v>
      </c>
      <c r="D12" s="29"/>
      <c r="E12" s="68">
        <v>46098</v>
      </c>
      <c r="F12" s="69"/>
      <c r="G12" s="55">
        <v>4.1666666666666664E-2</v>
      </c>
      <c r="H12" s="30"/>
      <c r="I12" s="31"/>
      <c r="J12" s="29">
        <f>SUM(J5:J10)</f>
        <v>11</v>
      </c>
      <c r="K12" s="29">
        <f>SUM(K5:K10)</f>
        <v>6470</v>
      </c>
      <c r="L12" s="32"/>
      <c r="M12" s="33"/>
    </row>
    <row r="13" spans="1:13" ht="18.75">
      <c r="A13" s="34"/>
      <c r="B13" s="34"/>
      <c r="C13" s="35"/>
      <c r="D13" s="36"/>
      <c r="E13" s="37"/>
      <c r="F13" s="37"/>
      <c r="G13" s="37"/>
      <c r="H13" s="34"/>
      <c r="I13" s="34"/>
      <c r="J13" s="37"/>
      <c r="K13" s="37" t="s">
        <v>35</v>
      </c>
      <c r="L13" s="37"/>
      <c r="M13" s="38"/>
    </row>
    <row r="14" spans="1:13" ht="37.5">
      <c r="A14" s="34"/>
      <c r="B14" s="34"/>
      <c r="C14" s="37" t="s">
        <v>36</v>
      </c>
      <c r="D14" s="39"/>
      <c r="E14" s="37"/>
      <c r="F14" s="37"/>
      <c r="G14" s="37"/>
      <c r="H14" s="34"/>
      <c r="I14" s="34"/>
      <c r="J14" s="37"/>
      <c r="K14" s="40" t="s">
        <v>37</v>
      </c>
      <c r="L14" s="40"/>
      <c r="M14" s="41"/>
    </row>
    <row r="15" spans="1:13" ht="18.75">
      <c r="A15" s="34"/>
      <c r="B15" s="34"/>
      <c r="C15" s="37" t="s">
        <v>38</v>
      </c>
      <c r="D15" s="38"/>
      <c r="E15" s="34"/>
      <c r="F15" s="34"/>
      <c r="G15" s="34"/>
      <c r="H15" s="34"/>
      <c r="I15" s="34"/>
      <c r="J15" s="34"/>
      <c r="K15" s="34" t="s">
        <v>39</v>
      </c>
      <c r="L15" s="34"/>
      <c r="M15" s="34"/>
    </row>
    <row r="16" spans="1:13" ht="18.7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:13" ht="40.15" customHeight="1">
      <c r="A17" s="34"/>
      <c r="B17" s="65" t="s">
        <v>40</v>
      </c>
      <c r="C17" s="65"/>
      <c r="D17" s="65"/>
      <c r="E17" s="65"/>
      <c r="F17" s="65"/>
      <c r="G17" s="65"/>
      <c r="H17" s="65"/>
      <c r="I17" s="65"/>
      <c r="J17" s="42"/>
      <c r="K17" s="42"/>
      <c r="L17" s="42"/>
      <c r="M17" s="42"/>
    </row>
  </sheetData>
  <autoFilter ref="D4:K17" xr:uid="{00000000-0009-0000-0000-000000000000}"/>
  <mergeCells count="6">
    <mergeCell ref="A1:M1"/>
    <mergeCell ref="A2:M2"/>
    <mergeCell ref="C11:I11"/>
    <mergeCell ref="B17:I17"/>
    <mergeCell ref="D5:D10"/>
    <mergeCell ref="E12:F12"/>
  </mergeCells>
  <pageMargins left="0.7" right="0.7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zoomScale="70" zoomScaleNormal="70" workbookViewId="0">
      <selection activeCell="E13" sqref="E13"/>
    </sheetView>
  </sheetViews>
  <sheetFormatPr defaultColWidth="9" defaultRowHeight="14.25"/>
  <cols>
    <col min="1" max="4" width="15.125" customWidth="1"/>
    <col min="5" max="5" width="24.625" customWidth="1"/>
    <col min="6" max="6" width="15.125" customWidth="1"/>
    <col min="7" max="7" width="32" customWidth="1"/>
    <col min="8" max="8" width="33.5" customWidth="1"/>
    <col min="9" max="13" width="15.125" customWidth="1"/>
  </cols>
  <sheetData>
    <row r="1" spans="1:18" ht="40.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8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8" ht="84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8" ht="20.25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8" ht="26.1" customHeight="1">
      <c r="A5" s="23">
        <v>1</v>
      </c>
      <c r="B5" s="24"/>
      <c r="C5" s="23" t="s">
        <v>41</v>
      </c>
      <c r="D5" s="66">
        <v>63900950</v>
      </c>
      <c r="E5" s="50" t="s">
        <v>42</v>
      </c>
      <c r="F5" s="23" t="s">
        <v>18</v>
      </c>
      <c r="G5" s="51" t="s">
        <v>43</v>
      </c>
      <c r="H5" s="4" t="s">
        <v>44</v>
      </c>
      <c r="I5" s="23">
        <f>K5/J5</f>
        <v>600</v>
      </c>
      <c r="J5" s="4">
        <v>2</v>
      </c>
      <c r="K5" s="4">
        <f>600*2</f>
        <v>1200</v>
      </c>
      <c r="L5" s="4" t="s">
        <v>45</v>
      </c>
      <c r="M5" s="20"/>
    </row>
    <row r="6" spans="1:18" ht="26.1" customHeight="1">
      <c r="A6" s="23">
        <v>2</v>
      </c>
      <c r="B6" s="24"/>
      <c r="C6" s="23" t="s">
        <v>41</v>
      </c>
      <c r="D6" s="67"/>
      <c r="E6" s="50" t="s">
        <v>42</v>
      </c>
      <c r="F6" s="23" t="s">
        <v>18</v>
      </c>
      <c r="G6" s="51" t="s">
        <v>43</v>
      </c>
      <c r="H6" s="4" t="s">
        <v>44</v>
      </c>
      <c r="I6" s="23">
        <f t="shared" ref="I6:I17" si="0">K6/J6</f>
        <v>336</v>
      </c>
      <c r="J6" s="4">
        <v>1</v>
      </c>
      <c r="K6" s="4">
        <v>336</v>
      </c>
      <c r="L6" s="4" t="s">
        <v>46</v>
      </c>
      <c r="M6" s="20"/>
    </row>
    <row r="7" spans="1:18" ht="26.1" customHeight="1">
      <c r="A7" s="23">
        <v>3</v>
      </c>
      <c r="B7" s="24"/>
      <c r="C7" s="23" t="s">
        <v>41</v>
      </c>
      <c r="D7" s="67"/>
      <c r="E7" s="50" t="s">
        <v>42</v>
      </c>
      <c r="F7" s="23" t="s">
        <v>18</v>
      </c>
      <c r="G7" s="51" t="s">
        <v>43</v>
      </c>
      <c r="H7" s="4" t="s">
        <v>44</v>
      </c>
      <c r="I7" s="23">
        <f t="shared" si="0"/>
        <v>393</v>
      </c>
      <c r="J7" s="4">
        <v>1</v>
      </c>
      <c r="K7" s="4">
        <v>393</v>
      </c>
      <c r="L7" s="4" t="s">
        <v>47</v>
      </c>
      <c r="M7" s="20"/>
    </row>
    <row r="8" spans="1:18" ht="26.1" customHeight="1">
      <c r="A8" s="23">
        <v>4</v>
      </c>
      <c r="B8" s="24"/>
      <c r="C8" s="23" t="s">
        <v>41</v>
      </c>
      <c r="D8" s="67"/>
      <c r="E8" s="50" t="s">
        <v>42</v>
      </c>
      <c r="F8" s="23" t="s">
        <v>18</v>
      </c>
      <c r="G8" s="51" t="s">
        <v>43</v>
      </c>
      <c r="H8" s="4" t="s">
        <v>44</v>
      </c>
      <c r="I8" s="23">
        <f t="shared" si="0"/>
        <v>391</v>
      </c>
      <c r="J8" s="4">
        <v>1</v>
      </c>
      <c r="K8" s="4">
        <v>391</v>
      </c>
      <c r="L8" s="4" t="s">
        <v>22</v>
      </c>
      <c r="M8" s="20"/>
    </row>
    <row r="9" spans="1:18" ht="26.1" customHeight="1">
      <c r="A9" s="23">
        <v>5</v>
      </c>
      <c r="B9" s="24"/>
      <c r="C9" s="23" t="s">
        <v>41</v>
      </c>
      <c r="D9" s="67"/>
      <c r="E9" s="50" t="s">
        <v>48</v>
      </c>
      <c r="F9" s="23" t="s">
        <v>18</v>
      </c>
      <c r="G9" s="51" t="s">
        <v>49</v>
      </c>
      <c r="H9" s="4" t="s">
        <v>50</v>
      </c>
      <c r="I9" s="23">
        <f t="shared" si="0"/>
        <v>772</v>
      </c>
      <c r="J9" s="4">
        <v>1</v>
      </c>
      <c r="K9" s="4">
        <v>772</v>
      </c>
      <c r="L9" s="4" t="s">
        <v>51</v>
      </c>
      <c r="M9" s="20"/>
    </row>
    <row r="10" spans="1:18" ht="26.1" customHeight="1">
      <c r="A10" s="23">
        <v>6</v>
      </c>
      <c r="B10" s="24"/>
      <c r="C10" s="23" t="s">
        <v>41</v>
      </c>
      <c r="D10" s="67"/>
      <c r="E10" s="50" t="s">
        <v>48</v>
      </c>
      <c r="F10" s="23" t="s">
        <v>18</v>
      </c>
      <c r="G10" s="51" t="s">
        <v>49</v>
      </c>
      <c r="H10" s="4" t="s">
        <v>50</v>
      </c>
      <c r="I10" s="23">
        <f t="shared" si="0"/>
        <v>900</v>
      </c>
      <c r="J10" s="4">
        <v>1</v>
      </c>
      <c r="K10" s="4">
        <v>900</v>
      </c>
      <c r="L10" s="4" t="s">
        <v>52</v>
      </c>
      <c r="M10" s="20"/>
      <c r="R10" s="46" t="s">
        <v>53</v>
      </c>
    </row>
    <row r="11" spans="1:18" ht="26.1" customHeight="1">
      <c r="A11" s="23">
        <v>7</v>
      </c>
      <c r="B11" s="24"/>
      <c r="C11" s="23" t="s">
        <v>41</v>
      </c>
      <c r="D11" s="67"/>
      <c r="E11" s="50" t="s">
        <v>48</v>
      </c>
      <c r="F11" s="23" t="s">
        <v>18</v>
      </c>
      <c r="G11" s="51" t="s">
        <v>49</v>
      </c>
      <c r="H11" s="4" t="s">
        <v>50</v>
      </c>
      <c r="I11" s="23">
        <f t="shared" si="0"/>
        <v>520</v>
      </c>
      <c r="J11" s="70">
        <v>1</v>
      </c>
      <c r="K11" s="4">
        <v>520</v>
      </c>
      <c r="L11" s="70" t="s">
        <v>54</v>
      </c>
      <c r="M11" s="20"/>
    </row>
    <row r="12" spans="1:18" ht="26.1" customHeight="1">
      <c r="A12" s="23">
        <v>8</v>
      </c>
      <c r="B12" s="24"/>
      <c r="C12" s="23" t="s">
        <v>41</v>
      </c>
      <c r="D12" s="67"/>
      <c r="E12" s="50" t="s">
        <v>55</v>
      </c>
      <c r="F12" s="23" t="s">
        <v>18</v>
      </c>
      <c r="G12" s="51" t="s">
        <v>56</v>
      </c>
      <c r="H12" s="4" t="s">
        <v>57</v>
      </c>
      <c r="I12" s="23">
        <f>K12/J11</f>
        <v>870</v>
      </c>
      <c r="J12" s="71"/>
      <c r="K12" s="4">
        <v>870</v>
      </c>
      <c r="L12" s="71"/>
      <c r="M12" s="20"/>
    </row>
    <row r="13" spans="1:18" ht="26.1" customHeight="1">
      <c r="A13" s="23">
        <v>9</v>
      </c>
      <c r="B13" s="24"/>
      <c r="C13" s="23" t="s">
        <v>41</v>
      </c>
      <c r="D13" s="67"/>
      <c r="E13" s="50" t="s">
        <v>55</v>
      </c>
      <c r="F13" s="23" t="s">
        <v>18</v>
      </c>
      <c r="G13" s="51" t="s">
        <v>56</v>
      </c>
      <c r="H13" s="4" t="s">
        <v>57</v>
      </c>
      <c r="I13" s="23">
        <f t="shared" si="0"/>
        <v>1450</v>
      </c>
      <c r="J13" s="4">
        <v>1</v>
      </c>
      <c r="K13" s="4">
        <v>1450</v>
      </c>
      <c r="L13" s="4" t="s">
        <v>27</v>
      </c>
      <c r="M13" s="20"/>
    </row>
    <row r="14" spans="1:18" ht="26.1" customHeight="1">
      <c r="A14" s="23">
        <v>10</v>
      </c>
      <c r="B14" s="24"/>
      <c r="C14" s="23" t="s">
        <v>41</v>
      </c>
      <c r="D14" s="67"/>
      <c r="E14" s="50" t="s">
        <v>58</v>
      </c>
      <c r="F14" s="23" t="s">
        <v>18</v>
      </c>
      <c r="G14" s="51" t="s">
        <v>59</v>
      </c>
      <c r="H14" s="4" t="s">
        <v>60</v>
      </c>
      <c r="I14" s="23">
        <f t="shared" si="0"/>
        <v>300</v>
      </c>
      <c r="J14" s="4">
        <v>3</v>
      </c>
      <c r="K14" s="4">
        <f>300*3</f>
        <v>900</v>
      </c>
      <c r="L14" s="4" t="s">
        <v>61</v>
      </c>
      <c r="M14" s="20"/>
    </row>
    <row r="15" spans="1:18" ht="26.1" customHeight="1">
      <c r="A15" s="23">
        <v>11</v>
      </c>
      <c r="B15" s="24"/>
      <c r="C15" s="23" t="s">
        <v>41</v>
      </c>
      <c r="D15" s="67"/>
      <c r="E15" s="50" t="s">
        <v>58</v>
      </c>
      <c r="F15" s="23" t="s">
        <v>18</v>
      </c>
      <c r="G15" s="51" t="s">
        <v>59</v>
      </c>
      <c r="H15" s="4" t="s">
        <v>60</v>
      </c>
      <c r="I15" s="23">
        <f t="shared" si="0"/>
        <v>300</v>
      </c>
      <c r="J15" s="4">
        <v>2</v>
      </c>
      <c r="K15" s="4">
        <f>300*2</f>
        <v>600</v>
      </c>
      <c r="L15" s="4" t="s">
        <v>62</v>
      </c>
      <c r="M15" s="20"/>
    </row>
    <row r="16" spans="1:18" ht="26.1" customHeight="1">
      <c r="A16" s="23">
        <v>12</v>
      </c>
      <c r="B16" s="24"/>
      <c r="C16" s="23" t="s">
        <v>41</v>
      </c>
      <c r="D16" s="67"/>
      <c r="E16" s="50" t="s">
        <v>58</v>
      </c>
      <c r="F16" s="23" t="s">
        <v>18</v>
      </c>
      <c r="G16" s="51" t="s">
        <v>59</v>
      </c>
      <c r="H16" s="4" t="s">
        <v>60</v>
      </c>
      <c r="I16" s="23">
        <f t="shared" si="0"/>
        <v>168</v>
      </c>
      <c r="J16" s="4">
        <v>1</v>
      </c>
      <c r="K16" s="4">
        <v>168</v>
      </c>
      <c r="L16" s="4" t="s">
        <v>63</v>
      </c>
      <c r="M16" s="20"/>
    </row>
    <row r="17" spans="1:13" ht="26.1" customHeight="1">
      <c r="A17" s="23">
        <v>13</v>
      </c>
      <c r="B17" s="24"/>
      <c r="C17" s="23" t="s">
        <v>41</v>
      </c>
      <c r="D17" s="67"/>
      <c r="E17" s="50" t="s">
        <v>64</v>
      </c>
      <c r="F17" s="23" t="s">
        <v>18</v>
      </c>
      <c r="G17" s="51" t="s">
        <v>65</v>
      </c>
      <c r="H17" s="4" t="s">
        <v>66</v>
      </c>
      <c r="I17" s="23">
        <f t="shared" si="0"/>
        <v>900</v>
      </c>
      <c r="J17" s="4">
        <v>1</v>
      </c>
      <c r="K17" s="4">
        <v>900</v>
      </c>
      <c r="L17" s="4" t="s">
        <v>67</v>
      </c>
      <c r="M17" s="20"/>
    </row>
    <row r="18" spans="1:13" ht="41.25">
      <c r="A18" s="23"/>
      <c r="B18" s="23"/>
      <c r="C18" s="62" t="s">
        <v>68</v>
      </c>
      <c r="D18" s="63"/>
      <c r="E18" s="63"/>
      <c r="F18" s="63"/>
      <c r="G18" s="63"/>
      <c r="H18" s="63"/>
      <c r="I18" s="64"/>
      <c r="J18" s="25"/>
      <c r="K18" s="26"/>
      <c r="L18" s="27"/>
      <c r="M18" s="28"/>
    </row>
    <row r="19" spans="1:13" ht="20.25">
      <c r="A19" s="23"/>
      <c r="B19" s="23"/>
      <c r="C19" s="49" t="s">
        <v>34</v>
      </c>
      <c r="D19" s="29"/>
      <c r="E19" s="68">
        <v>46098</v>
      </c>
      <c r="F19" s="69"/>
      <c r="G19" s="55">
        <v>8.3333333333333329E-2</v>
      </c>
      <c r="H19" s="30"/>
      <c r="I19" s="31"/>
      <c r="J19" s="29">
        <f>SUM(J5:J17)</f>
        <v>16</v>
      </c>
      <c r="K19" s="29">
        <f>SUM(K5:K17)</f>
        <v>9400</v>
      </c>
      <c r="L19" s="32"/>
      <c r="M19" s="33"/>
    </row>
    <row r="20" spans="1:13" ht="18.75">
      <c r="A20" s="34"/>
      <c r="B20" s="34"/>
      <c r="C20" s="35"/>
      <c r="D20" s="36"/>
      <c r="E20" s="37"/>
      <c r="F20" s="37"/>
      <c r="G20" s="37"/>
      <c r="H20" s="34"/>
      <c r="I20" s="34"/>
      <c r="J20" s="37"/>
      <c r="K20" s="37" t="s">
        <v>35</v>
      </c>
      <c r="L20" s="37"/>
      <c r="M20" s="38"/>
    </row>
    <row r="21" spans="1:13" ht="18.75">
      <c r="A21" s="34"/>
      <c r="B21" s="34"/>
      <c r="C21" s="37" t="s">
        <v>36</v>
      </c>
      <c r="D21" s="39"/>
      <c r="E21" s="37"/>
      <c r="F21" s="37"/>
      <c r="G21" s="37"/>
      <c r="H21" s="34"/>
      <c r="I21" s="34"/>
      <c r="J21" s="37"/>
      <c r="K21" s="40" t="s">
        <v>37</v>
      </c>
      <c r="L21" s="40"/>
      <c r="M21" s="41"/>
    </row>
    <row r="22" spans="1:13" ht="18.75">
      <c r="A22" s="34"/>
      <c r="B22" s="34"/>
      <c r="C22" s="37" t="s">
        <v>38</v>
      </c>
      <c r="D22" s="38"/>
      <c r="E22" s="34"/>
      <c r="F22" s="34"/>
      <c r="G22" s="34"/>
      <c r="H22" s="34"/>
      <c r="I22" s="34"/>
      <c r="J22" s="34"/>
      <c r="K22" s="34" t="s">
        <v>39</v>
      </c>
      <c r="L22" s="34"/>
      <c r="M22" s="34"/>
    </row>
    <row r="23" spans="1:13" ht="18.7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1:13" ht="20.25">
      <c r="A24" s="34"/>
      <c r="B24" s="65" t="s">
        <v>40</v>
      </c>
      <c r="C24" s="65"/>
      <c r="D24" s="65"/>
      <c r="E24" s="65"/>
      <c r="F24" s="65"/>
      <c r="G24" s="65"/>
      <c r="H24" s="65"/>
      <c r="I24" s="65"/>
      <c r="J24" s="42"/>
      <c r="K24" s="42"/>
      <c r="L24" s="42"/>
      <c r="M24" s="42"/>
    </row>
    <row r="25" spans="1:1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 spans="1:1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37" spans="8:8">
      <c r="H37" s="47"/>
    </row>
  </sheetData>
  <mergeCells count="8">
    <mergeCell ref="A1:M1"/>
    <mergeCell ref="A2:M2"/>
    <mergeCell ref="C18:I18"/>
    <mergeCell ref="B24:I24"/>
    <mergeCell ref="D5:D17"/>
    <mergeCell ref="J11:J12"/>
    <mergeCell ref="L11:L12"/>
    <mergeCell ref="E19:F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opLeftCell="A2" zoomScale="85" zoomScaleNormal="85" workbookViewId="0">
      <selection activeCell="G15" sqref="G15"/>
    </sheetView>
  </sheetViews>
  <sheetFormatPr defaultColWidth="9" defaultRowHeight="14.25"/>
  <cols>
    <col min="1" max="2" width="14.25" customWidth="1"/>
    <col min="3" max="3" width="16.375" customWidth="1"/>
    <col min="4" max="4" width="14.25" customWidth="1"/>
    <col min="5" max="5" width="24.5" customWidth="1"/>
    <col min="6" max="6" width="14.25" customWidth="1"/>
    <col min="7" max="7" width="33.75" customWidth="1"/>
    <col min="8" max="8" width="28.5" customWidth="1"/>
    <col min="9" max="13" width="14.25" customWidth="1"/>
  </cols>
  <sheetData>
    <row r="1" spans="1:13" ht="40.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ht="84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3" ht="20.25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3" ht="26.1" customHeight="1">
      <c r="A5" s="23">
        <v>1</v>
      </c>
      <c r="B5" s="24"/>
      <c r="C5" s="23" t="s">
        <v>69</v>
      </c>
      <c r="D5" s="66">
        <v>63900950</v>
      </c>
      <c r="E5" s="52" t="s">
        <v>70</v>
      </c>
      <c r="F5" s="23" t="s">
        <v>18</v>
      </c>
      <c r="G5" s="52" t="s">
        <v>71</v>
      </c>
      <c r="H5" s="23" t="s">
        <v>72</v>
      </c>
      <c r="I5" s="23">
        <f>K5/J5</f>
        <v>2320</v>
      </c>
      <c r="J5" s="23">
        <v>3</v>
      </c>
      <c r="K5" s="23">
        <f>2320*3</f>
        <v>6960</v>
      </c>
      <c r="L5" s="23" t="s">
        <v>73</v>
      </c>
      <c r="M5" s="23"/>
    </row>
    <row r="6" spans="1:13" ht="26.1" customHeight="1">
      <c r="A6" s="23">
        <v>2</v>
      </c>
      <c r="B6" s="24"/>
      <c r="C6" s="23" t="s">
        <v>69</v>
      </c>
      <c r="D6" s="67"/>
      <c r="E6" s="52" t="s">
        <v>74</v>
      </c>
      <c r="F6" s="23" t="s">
        <v>18</v>
      </c>
      <c r="G6" s="52" t="s">
        <v>75</v>
      </c>
      <c r="H6" s="23" t="s">
        <v>76</v>
      </c>
      <c r="I6" s="23">
        <f t="shared" ref="I6:I13" si="0">K6/J6</f>
        <v>2320</v>
      </c>
      <c r="J6" s="23">
        <v>1</v>
      </c>
      <c r="K6" s="23">
        <v>2320</v>
      </c>
      <c r="L6" s="23" t="s">
        <v>47</v>
      </c>
      <c r="M6" s="23"/>
    </row>
    <row r="7" spans="1:13" ht="26.1" customHeight="1">
      <c r="A7" s="23">
        <v>3</v>
      </c>
      <c r="B7" s="24"/>
      <c r="C7" s="23" t="s">
        <v>69</v>
      </c>
      <c r="D7" s="67"/>
      <c r="E7" s="52" t="s">
        <v>77</v>
      </c>
      <c r="F7" s="23" t="s">
        <v>18</v>
      </c>
      <c r="G7" s="52" t="s">
        <v>78</v>
      </c>
      <c r="H7" s="23" t="s">
        <v>79</v>
      </c>
      <c r="I7" s="23">
        <f t="shared" si="0"/>
        <v>2320</v>
      </c>
      <c r="J7" s="23">
        <v>2</v>
      </c>
      <c r="K7" s="23">
        <f>2320*2</f>
        <v>4640</v>
      </c>
      <c r="L7" s="23" t="s">
        <v>80</v>
      </c>
      <c r="M7" s="23"/>
    </row>
    <row r="8" spans="1:13" ht="26.1" customHeight="1">
      <c r="A8" s="23">
        <v>4</v>
      </c>
      <c r="B8" s="24"/>
      <c r="C8" s="23" t="s">
        <v>69</v>
      </c>
      <c r="D8" s="67"/>
      <c r="E8" s="52" t="s">
        <v>81</v>
      </c>
      <c r="F8" s="23" t="s">
        <v>18</v>
      </c>
      <c r="G8" s="52" t="s">
        <v>82</v>
      </c>
      <c r="H8" s="23" t="s">
        <v>83</v>
      </c>
      <c r="I8" s="23">
        <f t="shared" si="0"/>
        <v>2320</v>
      </c>
      <c r="J8" s="23">
        <v>1</v>
      </c>
      <c r="K8" s="23">
        <v>2320</v>
      </c>
      <c r="L8" s="23" t="s">
        <v>52</v>
      </c>
      <c r="M8" s="23"/>
    </row>
    <row r="9" spans="1:13" ht="26.1" customHeight="1">
      <c r="A9" s="23">
        <v>5</v>
      </c>
      <c r="B9" s="24"/>
      <c r="C9" s="23" t="s">
        <v>69</v>
      </c>
      <c r="D9" s="67"/>
      <c r="E9" s="52" t="s">
        <v>84</v>
      </c>
      <c r="F9" s="23" t="s">
        <v>18</v>
      </c>
      <c r="G9" s="52" t="s">
        <v>85</v>
      </c>
      <c r="H9" s="23" t="s">
        <v>86</v>
      </c>
      <c r="I9" s="23">
        <f t="shared" si="0"/>
        <v>4640</v>
      </c>
      <c r="J9" s="23">
        <v>1</v>
      </c>
      <c r="K9" s="23">
        <v>4640</v>
      </c>
      <c r="L9" s="23" t="s">
        <v>54</v>
      </c>
      <c r="M9" s="23"/>
    </row>
    <row r="10" spans="1:13" ht="26.1" customHeight="1">
      <c r="A10" s="23">
        <v>6</v>
      </c>
      <c r="B10" s="24"/>
      <c r="C10" s="23" t="s">
        <v>69</v>
      </c>
      <c r="D10" s="67"/>
      <c r="E10" s="52" t="s">
        <v>87</v>
      </c>
      <c r="F10" s="23" t="s">
        <v>18</v>
      </c>
      <c r="G10" s="52" t="s">
        <v>88</v>
      </c>
      <c r="H10" s="23" t="s">
        <v>89</v>
      </c>
      <c r="I10" s="23">
        <f t="shared" si="0"/>
        <v>4640</v>
      </c>
      <c r="J10" s="23">
        <v>1</v>
      </c>
      <c r="K10" s="23">
        <v>4640</v>
      </c>
      <c r="L10" s="23" t="s">
        <v>27</v>
      </c>
      <c r="M10" s="23"/>
    </row>
    <row r="11" spans="1:13" ht="26.1" customHeight="1">
      <c r="A11" s="23">
        <v>7</v>
      </c>
      <c r="B11" s="24"/>
      <c r="C11" s="23" t="s">
        <v>69</v>
      </c>
      <c r="D11" s="67"/>
      <c r="E11" s="52" t="s">
        <v>90</v>
      </c>
      <c r="F11" s="23" t="s">
        <v>18</v>
      </c>
      <c r="G11" s="52" t="s">
        <v>91</v>
      </c>
      <c r="H11" s="23" t="s">
        <v>92</v>
      </c>
      <c r="I11" s="23">
        <f t="shared" si="0"/>
        <v>928</v>
      </c>
      <c r="J11" s="23">
        <v>5</v>
      </c>
      <c r="K11" s="23">
        <f>928*5</f>
        <v>4640</v>
      </c>
      <c r="L11" s="23" t="s">
        <v>93</v>
      </c>
      <c r="M11" s="23"/>
    </row>
    <row r="12" spans="1:13" ht="26.1" customHeight="1">
      <c r="A12" s="23">
        <v>8</v>
      </c>
      <c r="B12" s="24"/>
      <c r="C12" s="23" t="s">
        <v>69</v>
      </c>
      <c r="D12" s="67"/>
      <c r="E12" s="52" t="s">
        <v>94</v>
      </c>
      <c r="F12" s="23" t="s">
        <v>18</v>
      </c>
      <c r="G12" s="52" t="s">
        <v>95</v>
      </c>
      <c r="H12" s="23" t="s">
        <v>96</v>
      </c>
      <c r="I12" s="23">
        <f t="shared" si="0"/>
        <v>2320</v>
      </c>
      <c r="J12" s="23">
        <v>1</v>
      </c>
      <c r="K12" s="23">
        <v>2320</v>
      </c>
      <c r="L12" s="23" t="s">
        <v>63</v>
      </c>
      <c r="M12" s="23"/>
    </row>
    <row r="13" spans="1:13" ht="26.1" customHeight="1">
      <c r="A13" s="23">
        <v>9</v>
      </c>
      <c r="B13" s="24"/>
      <c r="C13" s="23" t="s">
        <v>69</v>
      </c>
      <c r="D13" s="67"/>
      <c r="E13" s="52" t="s">
        <v>97</v>
      </c>
      <c r="F13" s="23" t="s">
        <v>18</v>
      </c>
      <c r="G13" s="52" t="s">
        <v>98</v>
      </c>
      <c r="H13" s="23" t="s">
        <v>99</v>
      </c>
      <c r="I13" s="23">
        <f t="shared" si="0"/>
        <v>1160</v>
      </c>
      <c r="J13" s="23">
        <v>2</v>
      </c>
      <c r="K13" s="23">
        <f>1160*2</f>
        <v>2320</v>
      </c>
      <c r="L13" s="23" t="s">
        <v>100</v>
      </c>
      <c r="M13" s="23"/>
    </row>
    <row r="14" spans="1:13" ht="57.95" customHeight="1">
      <c r="A14" s="23"/>
      <c r="B14" s="23"/>
      <c r="C14" s="62" t="s">
        <v>101</v>
      </c>
      <c r="D14" s="63"/>
      <c r="E14" s="63"/>
      <c r="F14" s="63"/>
      <c r="G14" s="63"/>
      <c r="H14" s="63"/>
      <c r="I14" s="64"/>
      <c r="J14" s="25"/>
      <c r="K14" s="26"/>
      <c r="L14" s="27"/>
      <c r="M14" s="28"/>
    </row>
    <row r="15" spans="1:13" ht="20.25">
      <c r="A15" s="23"/>
      <c r="B15" s="23"/>
      <c r="C15" s="49" t="s">
        <v>34</v>
      </c>
      <c r="D15" s="29"/>
      <c r="E15" s="68">
        <v>46098</v>
      </c>
      <c r="F15" s="69"/>
      <c r="G15" s="55">
        <v>0.125</v>
      </c>
      <c r="H15" s="30"/>
      <c r="I15" s="31"/>
      <c r="J15" s="29">
        <f>SUM(J5:J13)</f>
        <v>17</v>
      </c>
      <c r="K15" s="29">
        <f>SUM(K5:K13)</f>
        <v>34800</v>
      </c>
      <c r="L15" s="32"/>
      <c r="M15" s="33"/>
    </row>
    <row r="16" spans="1:13" ht="18.75">
      <c r="A16" s="34"/>
      <c r="B16" s="34"/>
      <c r="C16" s="35"/>
      <c r="D16" s="36"/>
      <c r="E16" s="37"/>
      <c r="F16" s="37"/>
      <c r="G16" s="37"/>
      <c r="H16" s="34"/>
      <c r="I16" s="34"/>
      <c r="J16" s="37"/>
      <c r="K16" s="37" t="s">
        <v>35</v>
      </c>
      <c r="L16" s="37"/>
      <c r="M16" s="38"/>
    </row>
    <row r="17" spans="1:13" ht="37.5">
      <c r="A17" s="34"/>
      <c r="B17" s="34"/>
      <c r="C17" s="37" t="s">
        <v>36</v>
      </c>
      <c r="D17" s="39"/>
      <c r="E17" s="37"/>
      <c r="F17" s="37"/>
      <c r="G17" s="37"/>
      <c r="H17" s="34"/>
      <c r="I17" s="34"/>
      <c r="J17" s="37"/>
      <c r="K17" s="40" t="s">
        <v>37</v>
      </c>
      <c r="L17" s="40"/>
      <c r="M17" s="41"/>
    </row>
    <row r="18" spans="1:13" ht="18.75">
      <c r="A18" s="34"/>
      <c r="B18" s="34"/>
      <c r="C18" s="37" t="s">
        <v>38</v>
      </c>
      <c r="D18" s="38"/>
      <c r="E18" s="34"/>
      <c r="F18" s="34"/>
      <c r="G18" s="34"/>
      <c r="H18" s="34"/>
      <c r="I18" s="34"/>
      <c r="J18" s="34"/>
      <c r="K18" s="34" t="s">
        <v>39</v>
      </c>
      <c r="L18" s="34"/>
      <c r="M18" s="34"/>
    </row>
    <row r="19" spans="1:13" ht="18.7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 ht="20.25">
      <c r="A20" s="34"/>
      <c r="B20" s="65" t="s">
        <v>40</v>
      </c>
      <c r="C20" s="65"/>
      <c r="D20" s="65"/>
      <c r="E20" s="65"/>
      <c r="F20" s="65"/>
      <c r="G20" s="65"/>
      <c r="H20" s="65"/>
      <c r="I20" s="65"/>
      <c r="J20" s="42"/>
      <c r="K20" s="42"/>
      <c r="L20" s="42"/>
      <c r="M20" s="42"/>
    </row>
    <row r="21" spans="1:1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1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</row>
  </sheetData>
  <mergeCells count="6">
    <mergeCell ref="A1:M1"/>
    <mergeCell ref="A2:M2"/>
    <mergeCell ref="C14:I14"/>
    <mergeCell ref="B20:I20"/>
    <mergeCell ref="D5:D13"/>
    <mergeCell ref="E15:F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zoomScale="70" zoomScaleNormal="70" workbookViewId="0">
      <selection activeCell="G14" sqref="G14"/>
    </sheetView>
  </sheetViews>
  <sheetFormatPr defaultColWidth="9" defaultRowHeight="14.25"/>
  <cols>
    <col min="1" max="6" width="18.25" customWidth="1"/>
    <col min="7" max="8" width="34" customWidth="1"/>
    <col min="9" max="13" width="18.25" customWidth="1"/>
  </cols>
  <sheetData>
    <row r="1" spans="1:13" ht="40.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ht="63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3" ht="20.25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3" ht="26.1" customHeight="1">
      <c r="A5" s="23">
        <v>1</v>
      </c>
      <c r="B5" s="24"/>
      <c r="C5" s="23" t="s">
        <v>102</v>
      </c>
      <c r="D5" s="66">
        <v>63900950</v>
      </c>
      <c r="E5" s="52" t="s">
        <v>103</v>
      </c>
      <c r="F5" s="23" t="s">
        <v>18</v>
      </c>
      <c r="G5" s="52" t="s">
        <v>104</v>
      </c>
      <c r="H5" s="23" t="s">
        <v>105</v>
      </c>
      <c r="I5" s="23">
        <f>K5/J5</f>
        <v>525</v>
      </c>
      <c r="J5" s="23">
        <v>1</v>
      </c>
      <c r="K5" s="23">
        <v>525</v>
      </c>
      <c r="L5" s="23" t="s">
        <v>106</v>
      </c>
      <c r="M5" s="23"/>
    </row>
    <row r="6" spans="1:13" ht="26.1" customHeight="1">
      <c r="A6" s="23">
        <v>2</v>
      </c>
      <c r="B6" s="24"/>
      <c r="C6" s="23" t="s">
        <v>102</v>
      </c>
      <c r="D6" s="67"/>
      <c r="E6" s="52" t="s">
        <v>103</v>
      </c>
      <c r="F6" s="23" t="s">
        <v>18</v>
      </c>
      <c r="G6" s="52" t="s">
        <v>104</v>
      </c>
      <c r="H6" s="23" t="s">
        <v>105</v>
      </c>
      <c r="I6" s="23">
        <f t="shared" ref="I6:I12" si="0">K6/J6</f>
        <v>570</v>
      </c>
      <c r="J6" s="23">
        <v>1</v>
      </c>
      <c r="K6" s="23">
        <v>570</v>
      </c>
      <c r="L6" s="23" t="s">
        <v>107</v>
      </c>
      <c r="M6" s="23"/>
    </row>
    <row r="7" spans="1:13" ht="26.1" customHeight="1">
      <c r="A7" s="23">
        <v>3</v>
      </c>
      <c r="B7" s="24"/>
      <c r="C7" s="23" t="s">
        <v>102</v>
      </c>
      <c r="D7" s="67"/>
      <c r="E7" s="52" t="s">
        <v>103</v>
      </c>
      <c r="F7" s="23" t="s">
        <v>18</v>
      </c>
      <c r="G7" s="52" t="s">
        <v>104</v>
      </c>
      <c r="H7" s="23" t="s">
        <v>105</v>
      </c>
      <c r="I7" s="23">
        <f t="shared" si="0"/>
        <v>531</v>
      </c>
      <c r="J7" s="23">
        <v>1</v>
      </c>
      <c r="K7" s="23">
        <v>531</v>
      </c>
      <c r="L7" s="23" t="s">
        <v>46</v>
      </c>
      <c r="M7" s="23"/>
    </row>
    <row r="8" spans="1:13" ht="26.1" customHeight="1">
      <c r="A8" s="23">
        <v>4</v>
      </c>
      <c r="B8" s="24"/>
      <c r="C8" s="23" t="s">
        <v>102</v>
      </c>
      <c r="D8" s="67"/>
      <c r="E8" s="52" t="s">
        <v>103</v>
      </c>
      <c r="F8" s="23" t="s">
        <v>18</v>
      </c>
      <c r="G8" s="52" t="s">
        <v>104</v>
      </c>
      <c r="H8" s="23" t="s">
        <v>105</v>
      </c>
      <c r="I8" s="23">
        <f t="shared" si="0"/>
        <v>240</v>
      </c>
      <c r="J8" s="23">
        <v>1</v>
      </c>
      <c r="K8" s="23">
        <v>240</v>
      </c>
      <c r="L8" s="23" t="s">
        <v>47</v>
      </c>
      <c r="M8" s="23"/>
    </row>
    <row r="9" spans="1:13" ht="26.1" customHeight="1">
      <c r="A9" s="23">
        <v>5</v>
      </c>
      <c r="B9" s="24"/>
      <c r="C9" s="23" t="s">
        <v>102</v>
      </c>
      <c r="D9" s="67"/>
      <c r="E9" s="52" t="s">
        <v>103</v>
      </c>
      <c r="F9" s="23" t="s">
        <v>18</v>
      </c>
      <c r="G9" s="52" t="s">
        <v>104</v>
      </c>
      <c r="H9" s="23" t="s">
        <v>105</v>
      </c>
      <c r="I9" s="23">
        <f t="shared" si="0"/>
        <v>548</v>
      </c>
      <c r="J9" s="23">
        <v>1</v>
      </c>
      <c r="K9" s="23">
        <v>548</v>
      </c>
      <c r="L9" s="23" t="s">
        <v>22</v>
      </c>
      <c r="M9" s="23"/>
    </row>
    <row r="10" spans="1:13" ht="26.1" customHeight="1">
      <c r="A10" s="23">
        <v>6</v>
      </c>
      <c r="B10" s="24"/>
      <c r="C10" s="23" t="s">
        <v>102</v>
      </c>
      <c r="D10" s="67"/>
      <c r="E10" s="52" t="s">
        <v>108</v>
      </c>
      <c r="F10" s="23" t="s">
        <v>18</v>
      </c>
      <c r="G10" s="52" t="s">
        <v>109</v>
      </c>
      <c r="H10" s="23" t="s">
        <v>110</v>
      </c>
      <c r="I10" s="23">
        <f t="shared" si="0"/>
        <v>230</v>
      </c>
      <c r="J10" s="23">
        <v>6</v>
      </c>
      <c r="K10" s="23">
        <f>230*6</f>
        <v>1380</v>
      </c>
      <c r="L10" s="23" t="s">
        <v>111</v>
      </c>
      <c r="M10" s="23"/>
    </row>
    <row r="11" spans="1:13" ht="26.1" customHeight="1">
      <c r="A11" s="23">
        <v>7</v>
      </c>
      <c r="B11" s="24"/>
      <c r="C11" s="23" t="s">
        <v>102</v>
      </c>
      <c r="D11" s="67"/>
      <c r="E11" s="52" t="s">
        <v>108</v>
      </c>
      <c r="F11" s="23" t="s">
        <v>18</v>
      </c>
      <c r="G11" s="52" t="s">
        <v>109</v>
      </c>
      <c r="H11" s="23" t="s">
        <v>110</v>
      </c>
      <c r="I11" s="23">
        <f t="shared" si="0"/>
        <v>101</v>
      </c>
      <c r="J11" s="23">
        <v>1</v>
      </c>
      <c r="K11" s="23">
        <v>101</v>
      </c>
      <c r="L11" s="23" t="s">
        <v>112</v>
      </c>
      <c r="M11" s="23"/>
    </row>
    <row r="12" spans="1:13" ht="26.1" customHeight="1">
      <c r="A12" s="23">
        <v>8</v>
      </c>
      <c r="B12" s="24"/>
      <c r="C12" s="23" t="s">
        <v>102</v>
      </c>
      <c r="D12" s="67"/>
      <c r="E12" s="52" t="s">
        <v>108</v>
      </c>
      <c r="F12" s="23" t="s">
        <v>18</v>
      </c>
      <c r="G12" s="52" t="s">
        <v>109</v>
      </c>
      <c r="H12" s="23" t="s">
        <v>110</v>
      </c>
      <c r="I12" s="23">
        <f t="shared" si="0"/>
        <v>104</v>
      </c>
      <c r="J12" s="23">
        <v>1</v>
      </c>
      <c r="K12" s="23">
        <v>104</v>
      </c>
      <c r="L12" s="23" t="s">
        <v>113</v>
      </c>
      <c r="M12" s="23"/>
    </row>
    <row r="13" spans="1:13" ht="41.25">
      <c r="A13" s="23"/>
      <c r="B13" s="23"/>
      <c r="C13" s="62" t="s">
        <v>114</v>
      </c>
      <c r="D13" s="63"/>
      <c r="E13" s="63"/>
      <c r="F13" s="63"/>
      <c r="G13" s="63"/>
      <c r="H13" s="63"/>
      <c r="I13" s="64"/>
      <c r="J13" s="25"/>
      <c r="K13" s="26"/>
      <c r="L13" s="27"/>
      <c r="M13" s="28"/>
    </row>
    <row r="14" spans="1:13" ht="20.25">
      <c r="A14" s="23"/>
      <c r="B14" s="23"/>
      <c r="C14" s="49" t="s">
        <v>34</v>
      </c>
      <c r="D14" s="29"/>
      <c r="E14" s="68">
        <v>46098</v>
      </c>
      <c r="F14" s="69"/>
      <c r="G14" s="55">
        <v>0.16666666666666666</v>
      </c>
      <c r="H14" s="30"/>
      <c r="I14" s="31"/>
      <c r="J14" s="29">
        <f>SUM(J5:J12)</f>
        <v>13</v>
      </c>
      <c r="K14" s="29">
        <f>SUM(K5:K13)</f>
        <v>3999</v>
      </c>
      <c r="L14" s="32"/>
      <c r="M14" s="33"/>
    </row>
    <row r="15" spans="1:13" ht="18.75">
      <c r="A15" s="34"/>
      <c r="B15" s="34"/>
      <c r="C15" s="35"/>
      <c r="D15" s="36"/>
      <c r="E15" s="37"/>
      <c r="F15" s="37"/>
      <c r="G15" s="37"/>
      <c r="H15" s="34"/>
      <c r="I15" s="34"/>
      <c r="J15" s="37"/>
      <c r="K15" s="37" t="s">
        <v>35</v>
      </c>
      <c r="L15" s="37"/>
      <c r="M15" s="38"/>
    </row>
    <row r="16" spans="1:13" ht="18.75">
      <c r="A16" s="34"/>
      <c r="B16" s="34"/>
      <c r="C16" s="37" t="s">
        <v>36</v>
      </c>
      <c r="D16" s="39"/>
      <c r="E16" s="37"/>
      <c r="F16" s="37"/>
      <c r="G16" s="37"/>
      <c r="H16" s="34"/>
      <c r="I16" s="34"/>
      <c r="J16" s="37"/>
      <c r="K16" s="40" t="s">
        <v>37</v>
      </c>
      <c r="L16" s="40"/>
      <c r="M16" s="41"/>
    </row>
    <row r="17" spans="1:13" ht="18.75">
      <c r="A17" s="34"/>
      <c r="B17" s="34"/>
      <c r="C17" s="37" t="s">
        <v>38</v>
      </c>
      <c r="D17" s="38"/>
      <c r="E17" s="34"/>
      <c r="F17" s="34"/>
      <c r="G17" s="34"/>
      <c r="H17" s="34"/>
      <c r="I17" s="34"/>
      <c r="J17" s="34"/>
      <c r="K17" s="34" t="s">
        <v>39</v>
      </c>
      <c r="L17" s="34"/>
      <c r="M17" s="34"/>
    </row>
    <row r="18" spans="1:13" ht="18.7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 ht="20.25">
      <c r="A19" s="34"/>
      <c r="B19" s="65" t="s">
        <v>40</v>
      </c>
      <c r="C19" s="65"/>
      <c r="D19" s="65"/>
      <c r="E19" s="65"/>
      <c r="F19" s="65"/>
      <c r="G19" s="65"/>
      <c r="H19" s="65"/>
      <c r="I19" s="65"/>
      <c r="J19" s="42"/>
      <c r="K19" s="42"/>
      <c r="L19" s="42"/>
      <c r="M19" s="42"/>
    </row>
    <row r="20" spans="1:1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 spans="1:1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</sheetData>
  <mergeCells count="6">
    <mergeCell ref="A1:M1"/>
    <mergeCell ref="A2:M2"/>
    <mergeCell ref="C13:I13"/>
    <mergeCell ref="B19:I19"/>
    <mergeCell ref="D5:D12"/>
    <mergeCell ref="E14:F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="70" zoomScaleNormal="70" workbookViewId="0">
      <selection activeCell="G12" sqref="G12"/>
    </sheetView>
  </sheetViews>
  <sheetFormatPr defaultColWidth="9" defaultRowHeight="14.25"/>
  <cols>
    <col min="1" max="4" width="15.875" customWidth="1"/>
    <col min="5" max="5" width="26.625" customWidth="1"/>
    <col min="6" max="6" width="12.5" customWidth="1"/>
    <col min="7" max="7" width="29.875" customWidth="1"/>
    <col min="8" max="8" width="32.125" customWidth="1"/>
    <col min="9" max="13" width="15.875" customWidth="1"/>
  </cols>
  <sheetData>
    <row r="1" spans="1:13" ht="40.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ht="84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3" ht="20.25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3" ht="26.1" customHeight="1">
      <c r="A5" s="23">
        <v>1</v>
      </c>
      <c r="B5" s="24"/>
      <c r="C5" s="23" t="s">
        <v>115</v>
      </c>
      <c r="D5" s="66">
        <v>63900950</v>
      </c>
      <c r="E5" s="52" t="s">
        <v>116</v>
      </c>
      <c r="F5" s="23" t="s">
        <v>18</v>
      </c>
      <c r="G5" s="52" t="s">
        <v>117</v>
      </c>
      <c r="H5" s="23" t="s">
        <v>118</v>
      </c>
      <c r="I5" s="23">
        <f t="shared" ref="I5:I10" si="0">K5/J5</f>
        <v>211</v>
      </c>
      <c r="J5" s="23">
        <v>1</v>
      </c>
      <c r="K5" s="23">
        <v>211</v>
      </c>
      <c r="L5" s="23" t="s">
        <v>106</v>
      </c>
      <c r="M5" s="23"/>
    </row>
    <row r="6" spans="1:13" ht="26.1" customHeight="1">
      <c r="A6" s="23">
        <v>2</v>
      </c>
      <c r="B6" s="24"/>
      <c r="C6" s="23" t="s">
        <v>115</v>
      </c>
      <c r="D6" s="67"/>
      <c r="E6" s="52" t="s">
        <v>116</v>
      </c>
      <c r="F6" s="23" t="s">
        <v>18</v>
      </c>
      <c r="G6" s="52" t="s">
        <v>117</v>
      </c>
      <c r="H6" s="23" t="s">
        <v>118</v>
      </c>
      <c r="I6" s="23">
        <f t="shared" si="0"/>
        <v>198</v>
      </c>
      <c r="J6" s="23">
        <v>1</v>
      </c>
      <c r="K6" s="23">
        <v>198</v>
      </c>
      <c r="L6" s="23" t="s">
        <v>107</v>
      </c>
      <c r="M6" s="23"/>
    </row>
    <row r="7" spans="1:13" ht="26.1" customHeight="1">
      <c r="A7" s="23">
        <v>3</v>
      </c>
      <c r="B7" s="24"/>
      <c r="C7" s="23" t="s">
        <v>115</v>
      </c>
      <c r="D7" s="67"/>
      <c r="E7" s="52" t="s">
        <v>116</v>
      </c>
      <c r="F7" s="23" t="s">
        <v>18</v>
      </c>
      <c r="G7" s="52" t="s">
        <v>117</v>
      </c>
      <c r="H7" s="23" t="s">
        <v>118</v>
      </c>
      <c r="I7" s="23">
        <f t="shared" si="0"/>
        <v>227</v>
      </c>
      <c r="J7" s="23">
        <v>1</v>
      </c>
      <c r="K7" s="23">
        <v>227</v>
      </c>
      <c r="L7" s="23" t="s">
        <v>46</v>
      </c>
      <c r="M7" s="23"/>
    </row>
    <row r="8" spans="1:13" ht="26.1" customHeight="1">
      <c r="A8" s="23">
        <v>4</v>
      </c>
      <c r="B8" s="24"/>
      <c r="C8" s="23" t="s">
        <v>115</v>
      </c>
      <c r="D8" s="67"/>
      <c r="E8" s="52" t="s">
        <v>116</v>
      </c>
      <c r="F8" s="23" t="s">
        <v>18</v>
      </c>
      <c r="G8" s="52" t="s">
        <v>117</v>
      </c>
      <c r="H8" s="23" t="s">
        <v>118</v>
      </c>
      <c r="I8" s="23">
        <f t="shared" si="0"/>
        <v>240</v>
      </c>
      <c r="J8" s="23">
        <v>7</v>
      </c>
      <c r="K8" s="23">
        <f>240*7</f>
        <v>1680</v>
      </c>
      <c r="L8" s="23" t="s">
        <v>119</v>
      </c>
      <c r="M8" s="23"/>
    </row>
    <row r="9" spans="1:13" ht="26.1" customHeight="1">
      <c r="A9" s="23">
        <v>5</v>
      </c>
      <c r="B9" s="24"/>
      <c r="C9" s="23" t="s">
        <v>115</v>
      </c>
      <c r="D9" s="67"/>
      <c r="E9" s="52" t="s">
        <v>120</v>
      </c>
      <c r="F9" s="23" t="s">
        <v>18</v>
      </c>
      <c r="G9" s="52" t="s">
        <v>121</v>
      </c>
      <c r="H9" s="23" t="s">
        <v>122</v>
      </c>
      <c r="I9" s="23">
        <f t="shared" si="0"/>
        <v>500</v>
      </c>
      <c r="J9" s="23">
        <v>1</v>
      </c>
      <c r="K9" s="23">
        <v>500</v>
      </c>
      <c r="L9" s="23" t="s">
        <v>32</v>
      </c>
      <c r="M9" s="23"/>
    </row>
    <row r="10" spans="1:13" ht="26.1" customHeight="1">
      <c r="A10" s="23">
        <v>6</v>
      </c>
      <c r="B10" s="24"/>
      <c r="C10" s="23" t="s">
        <v>115</v>
      </c>
      <c r="D10" s="67"/>
      <c r="E10" s="52" t="s">
        <v>123</v>
      </c>
      <c r="F10" s="23" t="s">
        <v>18</v>
      </c>
      <c r="G10" s="52" t="s">
        <v>124</v>
      </c>
      <c r="H10" s="23" t="s">
        <v>125</v>
      </c>
      <c r="I10" s="23">
        <f t="shared" si="0"/>
        <v>370</v>
      </c>
      <c r="J10" s="23">
        <v>1</v>
      </c>
      <c r="K10" s="23">
        <v>370</v>
      </c>
      <c r="L10" s="23" t="s">
        <v>112</v>
      </c>
      <c r="M10" s="23"/>
    </row>
    <row r="11" spans="1:13" ht="63.95" customHeight="1">
      <c r="A11" s="23"/>
      <c r="B11" s="23"/>
      <c r="C11" s="62" t="s">
        <v>126</v>
      </c>
      <c r="D11" s="63"/>
      <c r="E11" s="63"/>
      <c r="F11" s="63"/>
      <c r="G11" s="63"/>
      <c r="H11" s="63"/>
      <c r="I11" s="64"/>
      <c r="J11" s="25"/>
      <c r="K11" s="26"/>
      <c r="L11" s="27"/>
      <c r="M11" s="28"/>
    </row>
    <row r="12" spans="1:13" ht="20.25">
      <c r="A12" s="23"/>
      <c r="B12" s="23"/>
      <c r="C12" s="49" t="s">
        <v>34</v>
      </c>
      <c r="D12" s="29"/>
      <c r="E12" s="68">
        <v>46098</v>
      </c>
      <c r="F12" s="69"/>
      <c r="G12" s="55">
        <v>0.33333333333333331</v>
      </c>
      <c r="H12" s="30"/>
      <c r="I12" s="31"/>
      <c r="J12" s="29">
        <f>SUM(J5:J10)</f>
        <v>12</v>
      </c>
      <c r="K12" s="29">
        <f>SUM(K5:K10)</f>
        <v>3186</v>
      </c>
      <c r="L12" s="32"/>
      <c r="M12" s="33"/>
    </row>
    <row r="13" spans="1:13" ht="18.75">
      <c r="A13" s="34"/>
      <c r="B13" s="34"/>
      <c r="C13" s="35"/>
      <c r="D13" s="36"/>
      <c r="E13" s="37"/>
      <c r="F13" s="37"/>
      <c r="G13" s="37"/>
      <c r="H13" s="34"/>
      <c r="I13" s="34"/>
      <c r="J13" s="37"/>
      <c r="K13" s="37" t="s">
        <v>35</v>
      </c>
      <c r="L13" s="37"/>
      <c r="M13" s="38"/>
    </row>
    <row r="14" spans="1:13" ht="18.75">
      <c r="A14" s="34"/>
      <c r="B14" s="34"/>
      <c r="C14" s="37" t="s">
        <v>36</v>
      </c>
      <c r="D14" s="39"/>
      <c r="E14" s="37"/>
      <c r="F14" s="37"/>
      <c r="G14" s="37"/>
      <c r="H14" s="34"/>
      <c r="I14" s="34"/>
      <c r="J14" s="37"/>
      <c r="K14" s="40" t="s">
        <v>37</v>
      </c>
      <c r="L14" s="40"/>
      <c r="M14" s="41"/>
    </row>
    <row r="15" spans="1:13" ht="18.75">
      <c r="A15" s="34"/>
      <c r="B15" s="34"/>
      <c r="C15" s="37" t="s">
        <v>38</v>
      </c>
      <c r="D15" s="38"/>
      <c r="E15" s="34"/>
      <c r="F15" s="34"/>
      <c r="G15" s="34"/>
      <c r="H15" s="34"/>
      <c r="I15" s="34"/>
      <c r="J15" s="34"/>
      <c r="K15" s="34" t="s">
        <v>39</v>
      </c>
      <c r="L15" s="34"/>
      <c r="M15" s="34"/>
    </row>
    <row r="16" spans="1:13" ht="18.7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:13" ht="20.25">
      <c r="A17" s="34"/>
      <c r="B17" s="65" t="s">
        <v>40</v>
      </c>
      <c r="C17" s="65"/>
      <c r="D17" s="65"/>
      <c r="E17" s="65"/>
      <c r="F17" s="65"/>
      <c r="G17" s="65"/>
      <c r="H17" s="65"/>
      <c r="I17" s="65"/>
      <c r="J17" s="42"/>
      <c r="K17" s="42"/>
      <c r="L17" s="42"/>
      <c r="M17" s="42"/>
    </row>
    <row r="18" spans="1:1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 spans="1:1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</row>
  </sheetData>
  <mergeCells count="6">
    <mergeCell ref="A1:M1"/>
    <mergeCell ref="A2:M2"/>
    <mergeCell ref="C11:I11"/>
    <mergeCell ref="B17:I17"/>
    <mergeCell ref="D5:D10"/>
    <mergeCell ref="E12:F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zoomScale="70" zoomScaleNormal="70" workbookViewId="0">
      <selection activeCell="G13" sqref="G13"/>
    </sheetView>
  </sheetViews>
  <sheetFormatPr defaultColWidth="9" defaultRowHeight="14.25"/>
  <cols>
    <col min="1" max="3" width="15.375" customWidth="1"/>
    <col min="4" max="4" width="16.375" customWidth="1"/>
    <col min="5" max="5" width="22.5" customWidth="1"/>
    <col min="6" max="6" width="15.375" customWidth="1"/>
    <col min="7" max="7" width="30.125" customWidth="1"/>
    <col min="8" max="8" width="33.625" customWidth="1"/>
    <col min="9" max="9" width="20.5" customWidth="1"/>
    <col min="10" max="13" width="15.375" customWidth="1"/>
  </cols>
  <sheetData>
    <row r="1" spans="1:13" ht="40.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ht="84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3" ht="18.399999999999999" customHeight="1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3" ht="26.1" customHeight="1">
      <c r="A5" s="23">
        <v>1</v>
      </c>
      <c r="B5" s="24"/>
      <c r="C5" s="23" t="s">
        <v>127</v>
      </c>
      <c r="D5" s="72">
        <v>63900950</v>
      </c>
      <c r="E5" s="52" t="s">
        <v>128</v>
      </c>
      <c r="F5" s="23" t="s">
        <v>18</v>
      </c>
      <c r="G5" s="52" t="s">
        <v>129</v>
      </c>
      <c r="H5" s="23" t="s">
        <v>130</v>
      </c>
      <c r="I5" s="23">
        <f>K5/J5</f>
        <v>4320</v>
      </c>
      <c r="J5" s="23">
        <v>1</v>
      </c>
      <c r="K5" s="23">
        <v>4320</v>
      </c>
      <c r="L5" s="23" t="s">
        <v>106</v>
      </c>
      <c r="M5" s="23"/>
    </row>
    <row r="6" spans="1:13" ht="26.1" customHeight="1">
      <c r="A6" s="23">
        <v>2</v>
      </c>
      <c r="B6" s="24"/>
      <c r="C6" s="23" t="s">
        <v>127</v>
      </c>
      <c r="D6" s="73"/>
      <c r="E6" s="52" t="s">
        <v>131</v>
      </c>
      <c r="F6" s="23" t="s">
        <v>18</v>
      </c>
      <c r="G6" s="52" t="s">
        <v>132</v>
      </c>
      <c r="H6" s="23" t="s">
        <v>25</v>
      </c>
      <c r="I6" s="23">
        <f t="shared" ref="I6:I11" si="0">K6/J6</f>
        <v>450</v>
      </c>
      <c r="J6" s="23">
        <v>4</v>
      </c>
      <c r="K6" s="23">
        <f>450*4</f>
        <v>1800</v>
      </c>
      <c r="L6" s="23" t="s">
        <v>133</v>
      </c>
      <c r="M6" s="23"/>
    </row>
    <row r="7" spans="1:13" ht="26.1" customHeight="1">
      <c r="A7" s="23">
        <v>3</v>
      </c>
      <c r="B7" s="24"/>
      <c r="C7" s="23" t="s">
        <v>127</v>
      </c>
      <c r="D7" s="73"/>
      <c r="E7" s="52" t="s">
        <v>120</v>
      </c>
      <c r="F7" s="23" t="s">
        <v>18</v>
      </c>
      <c r="G7" s="52" t="s">
        <v>121</v>
      </c>
      <c r="H7" s="23" t="s">
        <v>122</v>
      </c>
      <c r="I7" s="23">
        <f t="shared" si="0"/>
        <v>500</v>
      </c>
      <c r="J7" s="23">
        <v>4</v>
      </c>
      <c r="K7" s="23">
        <f>500*4</f>
        <v>2000</v>
      </c>
      <c r="L7" s="23" t="s">
        <v>134</v>
      </c>
      <c r="M7" s="23"/>
    </row>
    <row r="8" spans="1:13" ht="26.1" customHeight="1">
      <c r="A8" s="23">
        <v>4</v>
      </c>
      <c r="B8" s="24"/>
      <c r="C8" s="23" t="s">
        <v>127</v>
      </c>
      <c r="D8" s="73"/>
      <c r="E8" s="52" t="s">
        <v>120</v>
      </c>
      <c r="F8" s="23" t="s">
        <v>18</v>
      </c>
      <c r="G8" s="52" t="s">
        <v>121</v>
      </c>
      <c r="H8" s="23" t="s">
        <v>122</v>
      </c>
      <c r="I8" s="23">
        <f t="shared" si="0"/>
        <v>288</v>
      </c>
      <c r="J8" s="23">
        <v>1</v>
      </c>
      <c r="K8" s="23">
        <v>288</v>
      </c>
      <c r="L8" s="23" t="s">
        <v>31</v>
      </c>
      <c r="M8" s="23"/>
    </row>
    <row r="9" spans="1:13" ht="26.1" customHeight="1">
      <c r="A9" s="23">
        <v>5</v>
      </c>
      <c r="B9" s="24"/>
      <c r="C9" s="23" t="s">
        <v>127</v>
      </c>
      <c r="D9" s="73"/>
      <c r="E9" s="52" t="s">
        <v>123</v>
      </c>
      <c r="F9" s="23" t="s">
        <v>18</v>
      </c>
      <c r="G9" s="52" t="s">
        <v>124</v>
      </c>
      <c r="H9" s="23" t="s">
        <v>125</v>
      </c>
      <c r="I9" s="23">
        <f t="shared" si="0"/>
        <v>500</v>
      </c>
      <c r="J9" s="23">
        <v>4</v>
      </c>
      <c r="K9" s="23">
        <f>500*4</f>
        <v>2000</v>
      </c>
      <c r="L9" s="23" t="s">
        <v>135</v>
      </c>
      <c r="M9" s="23"/>
    </row>
    <row r="10" spans="1:13" ht="26.1" customHeight="1">
      <c r="A10" s="23">
        <v>6</v>
      </c>
      <c r="B10" s="24"/>
      <c r="C10" s="23" t="s">
        <v>127</v>
      </c>
      <c r="D10" s="73"/>
      <c r="E10" s="52" t="s">
        <v>123</v>
      </c>
      <c r="F10" s="23" t="s">
        <v>18</v>
      </c>
      <c r="G10" s="52" t="s">
        <v>124</v>
      </c>
      <c r="H10" s="23" t="s">
        <v>125</v>
      </c>
      <c r="I10" s="23">
        <f t="shared" si="0"/>
        <v>370</v>
      </c>
      <c r="J10" s="23">
        <v>1</v>
      </c>
      <c r="K10" s="23">
        <v>370</v>
      </c>
      <c r="L10" s="23" t="s">
        <v>63</v>
      </c>
      <c r="M10" s="23"/>
    </row>
    <row r="11" spans="1:13" ht="26.1" customHeight="1">
      <c r="A11" s="23">
        <v>7</v>
      </c>
      <c r="B11" s="24"/>
      <c r="C11" s="23" t="s">
        <v>127</v>
      </c>
      <c r="D11" s="73"/>
      <c r="E11" s="52" t="s">
        <v>136</v>
      </c>
      <c r="F11" s="23" t="s">
        <v>18</v>
      </c>
      <c r="G11" s="52" t="s">
        <v>137</v>
      </c>
      <c r="H11" s="23" t="s">
        <v>138</v>
      </c>
      <c r="I11" s="23">
        <f t="shared" si="0"/>
        <v>2320</v>
      </c>
      <c r="J11" s="23">
        <v>2</v>
      </c>
      <c r="K11" s="23">
        <v>4640</v>
      </c>
      <c r="L11" s="23" t="s">
        <v>100</v>
      </c>
      <c r="M11" s="23"/>
    </row>
    <row r="12" spans="1:13" ht="53.1" customHeight="1">
      <c r="A12" s="23"/>
      <c r="B12" s="23"/>
      <c r="C12" s="62" t="s">
        <v>139</v>
      </c>
      <c r="D12" s="63"/>
      <c r="E12" s="63"/>
      <c r="F12" s="63"/>
      <c r="G12" s="63"/>
      <c r="H12" s="63"/>
      <c r="I12" s="64"/>
      <c r="J12" s="25"/>
      <c r="K12" s="26"/>
      <c r="L12" s="27"/>
      <c r="M12" s="28"/>
    </row>
    <row r="13" spans="1:13" ht="20.25">
      <c r="A13" s="23"/>
      <c r="B13" s="23"/>
      <c r="C13" s="49" t="s">
        <v>34</v>
      </c>
      <c r="D13" s="29"/>
      <c r="E13" s="68">
        <v>46098</v>
      </c>
      <c r="F13" s="69"/>
      <c r="G13" s="55">
        <v>0.375</v>
      </c>
      <c r="H13" s="30"/>
      <c r="I13" s="31"/>
      <c r="J13" s="29">
        <f>SUM(J5:J11)</f>
        <v>17</v>
      </c>
      <c r="K13" s="29">
        <f>SUM(K5:K11)</f>
        <v>15418</v>
      </c>
      <c r="L13" s="32"/>
      <c r="M13" s="33"/>
    </row>
    <row r="14" spans="1:13" ht="18.75">
      <c r="A14" s="34"/>
      <c r="B14" s="34"/>
      <c r="C14" s="35"/>
      <c r="D14" s="36"/>
      <c r="E14" s="37"/>
      <c r="F14" s="37"/>
      <c r="G14" s="37"/>
      <c r="H14" s="34"/>
      <c r="I14" s="34"/>
      <c r="J14" s="37"/>
      <c r="K14" s="37" t="s">
        <v>35</v>
      </c>
      <c r="L14" s="37"/>
      <c r="M14" s="38"/>
    </row>
    <row r="15" spans="1:13" ht="18.75">
      <c r="A15" s="34"/>
      <c r="B15" s="34"/>
      <c r="C15" s="37" t="s">
        <v>36</v>
      </c>
      <c r="D15" s="39"/>
      <c r="E15" s="37"/>
      <c r="F15" s="37"/>
      <c r="G15" s="37"/>
      <c r="H15" s="34"/>
      <c r="I15" s="34"/>
      <c r="J15" s="37"/>
      <c r="K15" s="40" t="s">
        <v>37</v>
      </c>
      <c r="L15" s="40"/>
      <c r="M15" s="41"/>
    </row>
    <row r="16" spans="1:13" ht="18.75">
      <c r="A16" s="34"/>
      <c r="B16" s="34"/>
      <c r="C16" s="37" t="s">
        <v>38</v>
      </c>
      <c r="D16" s="38"/>
      <c r="E16" s="34"/>
      <c r="F16" s="34"/>
      <c r="G16" s="34"/>
      <c r="H16" s="34"/>
      <c r="I16" s="34"/>
      <c r="J16" s="34"/>
      <c r="K16" s="34" t="s">
        <v>39</v>
      </c>
      <c r="L16" s="34"/>
      <c r="M16" s="34"/>
    </row>
    <row r="17" spans="1:13" ht="18.7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ht="20.25">
      <c r="A18" s="34"/>
      <c r="B18" s="65" t="s">
        <v>40</v>
      </c>
      <c r="C18" s="65"/>
      <c r="D18" s="65"/>
      <c r="E18" s="65"/>
      <c r="F18" s="65"/>
      <c r="G18" s="65"/>
      <c r="H18" s="65"/>
      <c r="I18" s="65"/>
      <c r="J18" s="42"/>
      <c r="K18" s="42"/>
      <c r="L18" s="42"/>
      <c r="M18" s="42"/>
    </row>
    <row r="19" spans="1:1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 spans="1:1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4" spans="1:13" ht="20.25">
      <c r="H24" s="44"/>
      <c r="I24" s="45"/>
    </row>
    <row r="27" spans="1:13">
      <c r="H27">
        <v>6</v>
      </c>
    </row>
  </sheetData>
  <mergeCells count="6">
    <mergeCell ref="A1:M1"/>
    <mergeCell ref="A2:M2"/>
    <mergeCell ref="C12:I12"/>
    <mergeCell ref="B18:I18"/>
    <mergeCell ref="D5:D11"/>
    <mergeCell ref="E13:F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zoomScale="70" zoomScaleNormal="70" workbookViewId="0">
      <selection activeCell="A10" sqref="A10"/>
    </sheetView>
  </sheetViews>
  <sheetFormatPr defaultColWidth="9" defaultRowHeight="14.25"/>
  <cols>
    <col min="1" max="3" width="15.375" customWidth="1"/>
    <col min="4" max="4" width="16.375" customWidth="1"/>
    <col min="5" max="5" width="22.5" customWidth="1"/>
    <col min="6" max="6" width="15.375" customWidth="1"/>
    <col min="7" max="7" width="30.125" customWidth="1"/>
    <col min="8" max="8" width="33.625" customWidth="1"/>
    <col min="9" max="9" width="20.5" customWidth="1"/>
    <col min="10" max="13" width="15.375" customWidth="1"/>
  </cols>
  <sheetData>
    <row r="1" spans="1:13" ht="40.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20.25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3" ht="84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</row>
    <row r="4" spans="1:13" ht="18.399999999999999" customHeight="1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</row>
    <row r="5" spans="1:13" ht="26.1" customHeight="1">
      <c r="A5" s="23">
        <v>1</v>
      </c>
      <c r="B5" s="24"/>
      <c r="C5" s="23" t="s">
        <v>140</v>
      </c>
      <c r="D5" s="72">
        <v>63900950</v>
      </c>
      <c r="E5" s="52" t="s">
        <v>141</v>
      </c>
      <c r="F5" s="23" t="s">
        <v>18</v>
      </c>
      <c r="G5" s="52" t="s">
        <v>142</v>
      </c>
      <c r="H5" s="23" t="s">
        <v>143</v>
      </c>
      <c r="I5" s="23">
        <f>K5/J5</f>
        <v>489</v>
      </c>
      <c r="J5" s="23">
        <v>1</v>
      </c>
      <c r="K5" s="23">
        <v>489</v>
      </c>
      <c r="L5" s="23" t="s">
        <v>106</v>
      </c>
      <c r="M5" s="23"/>
    </row>
    <row r="6" spans="1:13" ht="26.1" customHeight="1">
      <c r="A6" s="23">
        <v>2</v>
      </c>
      <c r="B6" s="24"/>
      <c r="C6" s="23" t="s">
        <v>140</v>
      </c>
      <c r="D6" s="73"/>
      <c r="E6" s="52" t="s">
        <v>141</v>
      </c>
      <c r="F6" s="23" t="s">
        <v>18</v>
      </c>
      <c r="G6" s="52" t="s">
        <v>142</v>
      </c>
      <c r="H6" s="23" t="s">
        <v>143</v>
      </c>
      <c r="I6" s="23">
        <f t="shared" ref="I6:I14" si="0">K6/J6</f>
        <v>481</v>
      </c>
      <c r="J6" s="23">
        <v>1</v>
      </c>
      <c r="K6" s="23">
        <v>481</v>
      </c>
      <c r="L6" s="23" t="s">
        <v>107</v>
      </c>
      <c r="M6" s="23"/>
    </row>
    <row r="7" spans="1:13" ht="26.1" customHeight="1">
      <c r="A7" s="23">
        <v>3</v>
      </c>
      <c r="B7" s="24"/>
      <c r="C7" s="23" t="s">
        <v>140</v>
      </c>
      <c r="D7" s="73"/>
      <c r="E7" s="52" t="s">
        <v>141</v>
      </c>
      <c r="F7" s="23" t="s">
        <v>18</v>
      </c>
      <c r="G7" s="52" t="s">
        <v>142</v>
      </c>
      <c r="H7" s="23" t="s">
        <v>143</v>
      </c>
      <c r="I7" s="23">
        <f t="shared" si="0"/>
        <v>489</v>
      </c>
      <c r="J7" s="23">
        <v>1</v>
      </c>
      <c r="K7" s="23">
        <v>489</v>
      </c>
      <c r="L7" s="23" t="s">
        <v>46</v>
      </c>
      <c r="M7" s="23"/>
    </row>
    <row r="8" spans="1:13" ht="26.1" customHeight="1">
      <c r="A8" s="23">
        <v>4</v>
      </c>
      <c r="B8" s="24"/>
      <c r="C8" s="23" t="s">
        <v>140</v>
      </c>
      <c r="D8" s="73"/>
      <c r="E8" s="52" t="s">
        <v>141</v>
      </c>
      <c r="F8" s="23" t="s">
        <v>18</v>
      </c>
      <c r="G8" s="52" t="s">
        <v>142</v>
      </c>
      <c r="H8" s="23" t="s">
        <v>143</v>
      </c>
      <c r="I8" s="23">
        <f t="shared" si="0"/>
        <v>460</v>
      </c>
      <c r="J8" s="23">
        <v>1</v>
      </c>
      <c r="K8" s="23">
        <v>460</v>
      </c>
      <c r="L8" s="23" t="s">
        <v>47</v>
      </c>
      <c r="M8" s="23"/>
    </row>
    <row r="9" spans="1:13" ht="26.1" customHeight="1">
      <c r="A9" s="23">
        <v>5</v>
      </c>
      <c r="B9" s="24"/>
      <c r="C9" s="23" t="s">
        <v>140</v>
      </c>
      <c r="D9" s="73"/>
      <c r="E9" s="52" t="s">
        <v>141</v>
      </c>
      <c r="F9" s="23" t="s">
        <v>18</v>
      </c>
      <c r="G9" s="52" t="s">
        <v>142</v>
      </c>
      <c r="H9" s="23" t="s">
        <v>143</v>
      </c>
      <c r="I9" s="23">
        <f t="shared" si="0"/>
        <v>425</v>
      </c>
      <c r="J9" s="23">
        <v>1</v>
      </c>
      <c r="K9" s="23">
        <v>425</v>
      </c>
      <c r="L9" s="23" t="s">
        <v>22</v>
      </c>
      <c r="M9" s="23"/>
    </row>
    <row r="10" spans="1:13" ht="26.1" customHeight="1">
      <c r="A10" s="23">
        <v>6</v>
      </c>
      <c r="B10" s="24"/>
      <c r="C10" s="23" t="s">
        <v>140</v>
      </c>
      <c r="D10" s="73"/>
      <c r="E10" s="52" t="s">
        <v>141</v>
      </c>
      <c r="F10" s="23" t="s">
        <v>18</v>
      </c>
      <c r="G10" s="52" t="s">
        <v>142</v>
      </c>
      <c r="H10" s="23" t="s">
        <v>143</v>
      </c>
      <c r="I10" s="23">
        <f t="shared" si="0"/>
        <v>232</v>
      </c>
      <c r="J10" s="23">
        <v>1</v>
      </c>
      <c r="K10" s="23">
        <v>232</v>
      </c>
      <c r="L10" s="23" t="s">
        <v>51</v>
      </c>
      <c r="M10" s="23"/>
    </row>
    <row r="11" spans="1:13" ht="26.1" customHeight="1">
      <c r="A11" s="23">
        <v>7</v>
      </c>
      <c r="B11" s="24"/>
      <c r="C11" s="23" t="s">
        <v>140</v>
      </c>
      <c r="D11" s="73"/>
      <c r="E11" s="52" t="s">
        <v>144</v>
      </c>
      <c r="F11" s="23" t="s">
        <v>18</v>
      </c>
      <c r="G11" s="52" t="s">
        <v>145</v>
      </c>
      <c r="H11" s="23" t="s">
        <v>44</v>
      </c>
      <c r="I11" s="23">
        <f t="shared" si="0"/>
        <v>600</v>
      </c>
      <c r="J11" s="23">
        <v>3</v>
      </c>
      <c r="K11" s="23">
        <f>600*3</f>
        <v>1800</v>
      </c>
      <c r="L11" s="23" t="s">
        <v>146</v>
      </c>
      <c r="M11" s="23"/>
    </row>
    <row r="12" spans="1:13" ht="26.1" customHeight="1">
      <c r="A12" s="23">
        <v>8</v>
      </c>
      <c r="B12" s="24"/>
      <c r="C12" s="23" t="s">
        <v>140</v>
      </c>
      <c r="D12" s="73"/>
      <c r="E12" s="52" t="s">
        <v>144</v>
      </c>
      <c r="F12" s="23" t="s">
        <v>18</v>
      </c>
      <c r="G12" s="52" t="s">
        <v>145</v>
      </c>
      <c r="H12" s="23" t="s">
        <v>44</v>
      </c>
      <c r="I12" s="23">
        <f t="shared" si="0"/>
        <v>520</v>
      </c>
      <c r="J12" s="23">
        <v>1</v>
      </c>
      <c r="K12" s="23">
        <v>520</v>
      </c>
      <c r="L12" s="23" t="s">
        <v>31</v>
      </c>
      <c r="M12" s="23"/>
    </row>
    <row r="13" spans="1:13" ht="26.1" customHeight="1">
      <c r="A13" s="23">
        <v>9</v>
      </c>
      <c r="B13" s="24"/>
      <c r="C13" s="23" t="s">
        <v>140</v>
      </c>
      <c r="D13" s="73"/>
      <c r="E13" s="52" t="s">
        <v>147</v>
      </c>
      <c r="F13" s="23" t="s">
        <v>18</v>
      </c>
      <c r="G13" s="52" t="s">
        <v>148</v>
      </c>
      <c r="H13" s="23" t="s">
        <v>149</v>
      </c>
      <c r="I13" s="23">
        <f t="shared" si="0"/>
        <v>1160</v>
      </c>
      <c r="J13" s="23">
        <v>4</v>
      </c>
      <c r="K13" s="23">
        <f>1160*4</f>
        <v>4640</v>
      </c>
      <c r="L13" s="23" t="s">
        <v>135</v>
      </c>
      <c r="M13" s="23"/>
    </row>
    <row r="14" spans="1:13" ht="26.1" customHeight="1">
      <c r="A14" s="23">
        <v>10</v>
      </c>
      <c r="B14" s="24"/>
      <c r="C14" s="23" t="s">
        <v>140</v>
      </c>
      <c r="D14" s="73"/>
      <c r="E14" s="52" t="s">
        <v>150</v>
      </c>
      <c r="F14" s="23" t="s">
        <v>18</v>
      </c>
      <c r="G14" s="52" t="s">
        <v>151</v>
      </c>
      <c r="H14" s="23" t="s">
        <v>152</v>
      </c>
      <c r="I14" s="23">
        <f t="shared" si="0"/>
        <v>2320</v>
      </c>
      <c r="J14" s="23">
        <v>1</v>
      </c>
      <c r="K14" s="23">
        <v>2320</v>
      </c>
      <c r="L14" s="23" t="s">
        <v>63</v>
      </c>
      <c r="M14" s="23"/>
    </row>
    <row r="15" spans="1:13" ht="68.099999999999994" customHeight="1">
      <c r="A15" s="23"/>
      <c r="B15" s="23"/>
      <c r="C15" s="62" t="s">
        <v>153</v>
      </c>
      <c r="D15" s="63"/>
      <c r="E15" s="63"/>
      <c r="F15" s="63"/>
      <c r="G15" s="63"/>
      <c r="H15" s="63"/>
      <c r="I15" s="64"/>
      <c r="J15" s="25"/>
      <c r="K15" s="26"/>
      <c r="L15" s="27"/>
      <c r="M15" s="28"/>
    </row>
    <row r="16" spans="1:13" ht="20.25">
      <c r="A16" s="23"/>
      <c r="B16" s="23"/>
      <c r="C16" s="49" t="s">
        <v>34</v>
      </c>
      <c r="D16" s="29"/>
      <c r="E16" s="68">
        <v>46098</v>
      </c>
      <c r="F16" s="69"/>
      <c r="G16" s="55">
        <v>0.41666666666666669</v>
      </c>
      <c r="H16" s="30"/>
      <c r="I16" s="31"/>
      <c r="J16" s="29">
        <f>SUM(J5:J14)</f>
        <v>15</v>
      </c>
      <c r="K16" s="29">
        <f>SUM(K5:K14)</f>
        <v>11856</v>
      </c>
      <c r="L16" s="32"/>
      <c r="M16" s="33"/>
    </row>
    <row r="17" spans="1:13" ht="18.75">
      <c r="A17" s="34"/>
      <c r="B17" s="34"/>
      <c r="C17" s="35"/>
      <c r="D17" s="36"/>
      <c r="E17" s="37"/>
      <c r="F17" s="37"/>
      <c r="G17" s="37"/>
      <c r="H17" s="34"/>
      <c r="I17" s="34"/>
      <c r="J17" s="37"/>
      <c r="K17" s="37" t="s">
        <v>35</v>
      </c>
      <c r="L17" s="37"/>
      <c r="M17" s="38"/>
    </row>
    <row r="18" spans="1:13" ht="18.75">
      <c r="A18" s="34"/>
      <c r="B18" s="34"/>
      <c r="C18" s="37" t="s">
        <v>36</v>
      </c>
      <c r="D18" s="39"/>
      <c r="E18" s="37"/>
      <c r="F18" s="37"/>
      <c r="G18" s="37"/>
      <c r="H18" s="34"/>
      <c r="I18" s="34"/>
      <c r="J18" s="37"/>
      <c r="K18" s="40" t="s">
        <v>37</v>
      </c>
      <c r="L18" s="40"/>
      <c r="M18" s="41"/>
    </row>
    <row r="19" spans="1:13" ht="18.75">
      <c r="A19" s="34"/>
      <c r="B19" s="34"/>
      <c r="C19" s="37" t="s">
        <v>38</v>
      </c>
      <c r="D19" s="38"/>
      <c r="E19" s="34"/>
      <c r="F19" s="34"/>
      <c r="G19" s="34"/>
      <c r="H19" s="34"/>
      <c r="I19" s="34"/>
      <c r="J19" s="34"/>
      <c r="K19" s="34" t="s">
        <v>39</v>
      </c>
      <c r="L19" s="34"/>
      <c r="M19" s="34"/>
    </row>
    <row r="20" spans="1:13" ht="18.7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1:13" ht="20.25">
      <c r="A21" s="34"/>
      <c r="B21" s="65" t="s">
        <v>40</v>
      </c>
      <c r="C21" s="65"/>
      <c r="D21" s="65"/>
      <c r="E21" s="65"/>
      <c r="F21" s="65"/>
      <c r="G21" s="65"/>
      <c r="H21" s="65"/>
      <c r="I21" s="65"/>
      <c r="J21" s="42"/>
      <c r="K21" s="42"/>
      <c r="L21" s="42"/>
      <c r="M21" s="42"/>
    </row>
    <row r="22" spans="1:1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 spans="1:1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7" spans="1:13" ht="20.25">
      <c r="H27" s="44"/>
      <c r="I27" s="45"/>
    </row>
    <row r="30" spans="1:13">
      <c r="H30">
        <v>6</v>
      </c>
    </row>
  </sheetData>
  <mergeCells count="6">
    <mergeCell ref="A1:M1"/>
    <mergeCell ref="A2:M2"/>
    <mergeCell ref="C15:I15"/>
    <mergeCell ref="B21:I21"/>
    <mergeCell ref="D5:D14"/>
    <mergeCell ref="E16:F1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22"/>
  <sheetViews>
    <sheetView workbookViewId="0">
      <selection activeCell="B13" sqref="B13"/>
    </sheetView>
  </sheetViews>
  <sheetFormatPr defaultColWidth="9" defaultRowHeight="14.25"/>
  <cols>
    <col min="1" max="1" width="16.125" customWidth="1"/>
    <col min="2" max="2" width="13.75" customWidth="1"/>
  </cols>
  <sheetData>
    <row r="3" spans="1:2">
      <c r="A3" t="s">
        <v>154</v>
      </c>
      <c r="B3" t="s">
        <v>155</v>
      </c>
    </row>
    <row r="4" spans="1:2">
      <c r="A4" s="17" t="s">
        <v>156</v>
      </c>
      <c r="B4">
        <v>2</v>
      </c>
    </row>
    <row r="5" spans="1:2">
      <c r="A5" s="17" t="s">
        <v>157</v>
      </c>
      <c r="B5">
        <v>0.5</v>
      </c>
    </row>
    <row r="6" spans="1:2">
      <c r="A6" s="17" t="s">
        <v>158</v>
      </c>
      <c r="B6">
        <v>0.5</v>
      </c>
    </row>
    <row r="7" spans="1:2">
      <c r="A7" s="17" t="s">
        <v>159</v>
      </c>
      <c r="B7">
        <v>2</v>
      </c>
    </row>
    <row r="8" spans="1:2">
      <c r="A8" s="17" t="s">
        <v>160</v>
      </c>
      <c r="B8">
        <v>1</v>
      </c>
    </row>
    <row r="9" spans="1:2">
      <c r="A9" s="17" t="s">
        <v>161</v>
      </c>
      <c r="B9">
        <v>0.5</v>
      </c>
    </row>
    <row r="10" spans="1:2">
      <c r="A10" s="17" t="s">
        <v>162</v>
      </c>
      <c r="B10">
        <v>0.5</v>
      </c>
    </row>
    <row r="11" spans="1:2">
      <c r="A11" s="17" t="s">
        <v>163</v>
      </c>
      <c r="B11">
        <v>1</v>
      </c>
    </row>
    <row r="12" spans="1:2">
      <c r="A12" s="17" t="s">
        <v>164</v>
      </c>
      <c r="B12">
        <v>1</v>
      </c>
    </row>
    <row r="13" spans="1:2">
      <c r="A13" s="17" t="s">
        <v>165</v>
      </c>
      <c r="B13">
        <v>2</v>
      </c>
    </row>
    <row r="14" spans="1:2">
      <c r="A14" s="17" t="s">
        <v>97</v>
      </c>
      <c r="B14">
        <v>1</v>
      </c>
    </row>
    <row r="15" spans="1:2">
      <c r="A15" s="17" t="s">
        <v>166</v>
      </c>
      <c r="B15">
        <v>1</v>
      </c>
    </row>
    <row r="16" spans="1:2">
      <c r="A16" s="17" t="s">
        <v>42</v>
      </c>
      <c r="B16">
        <v>1</v>
      </c>
    </row>
    <row r="17" spans="1:2">
      <c r="A17" s="17" t="s">
        <v>77</v>
      </c>
      <c r="B17">
        <v>2</v>
      </c>
    </row>
    <row r="18" spans="1:2">
      <c r="A18" s="17" t="s">
        <v>167</v>
      </c>
      <c r="B18">
        <v>1</v>
      </c>
    </row>
    <row r="19" spans="1:2">
      <c r="A19" s="17" t="s">
        <v>168</v>
      </c>
      <c r="B19">
        <v>2</v>
      </c>
    </row>
    <row r="20" spans="1:2">
      <c r="A20" s="17" t="s">
        <v>123</v>
      </c>
      <c r="B20">
        <v>2</v>
      </c>
    </row>
    <row r="21" spans="1:2">
      <c r="A21" s="17" t="s">
        <v>169</v>
      </c>
      <c r="B21">
        <v>99</v>
      </c>
    </row>
    <row r="22" spans="1:2">
      <c r="A22" s="17" t="s">
        <v>170</v>
      </c>
      <c r="B22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D26"/>
  <sheetViews>
    <sheetView workbookViewId="0">
      <selection activeCell="C2" sqref="C2:D26"/>
    </sheetView>
  </sheetViews>
  <sheetFormatPr defaultColWidth="9" defaultRowHeight="14.25"/>
  <cols>
    <col min="3" max="3" width="28.875" customWidth="1"/>
  </cols>
  <sheetData>
    <row r="2" spans="3:4">
      <c r="C2" t="s">
        <v>171</v>
      </c>
      <c r="D2" t="s">
        <v>172</v>
      </c>
    </row>
    <row r="3" spans="3:4" ht="20.25">
      <c r="C3" s="53" t="s">
        <v>156</v>
      </c>
      <c r="D3" s="20">
        <v>1</v>
      </c>
    </row>
    <row r="4" spans="3:4" ht="20.25">
      <c r="C4" s="53" t="s">
        <v>156</v>
      </c>
      <c r="D4" s="20">
        <v>1</v>
      </c>
    </row>
    <row r="5" spans="3:4" ht="20.25">
      <c r="C5" s="53" t="s">
        <v>157</v>
      </c>
      <c r="D5" s="21">
        <v>0.5</v>
      </c>
    </row>
    <row r="6" spans="3:4" ht="20.25">
      <c r="C6" s="53" t="s">
        <v>158</v>
      </c>
      <c r="D6" s="21">
        <v>0.5</v>
      </c>
    </row>
    <row r="7" spans="3:4" ht="20.25">
      <c r="C7" s="53" t="s">
        <v>159</v>
      </c>
      <c r="D7" s="20">
        <v>1</v>
      </c>
    </row>
    <row r="8" spans="3:4" ht="20.25">
      <c r="C8" s="53" t="s">
        <v>159</v>
      </c>
      <c r="D8" s="20">
        <v>1</v>
      </c>
    </row>
    <row r="9" spans="3:4" ht="20.25">
      <c r="C9" s="53" t="s">
        <v>160</v>
      </c>
      <c r="D9" s="20">
        <v>1</v>
      </c>
    </row>
    <row r="10" spans="3:4" ht="20.25">
      <c r="C10" s="53" t="s">
        <v>161</v>
      </c>
      <c r="D10" s="21">
        <v>0.5</v>
      </c>
    </row>
    <row r="11" spans="3:4" ht="20.25">
      <c r="C11" s="53" t="s">
        <v>162</v>
      </c>
      <c r="D11" s="21">
        <v>0.5</v>
      </c>
    </row>
    <row r="12" spans="3:4" ht="20.25">
      <c r="C12" s="53" t="s">
        <v>163</v>
      </c>
      <c r="D12" s="20">
        <v>1</v>
      </c>
    </row>
    <row r="13" spans="3:4" ht="20.25">
      <c r="C13" s="53" t="s">
        <v>164</v>
      </c>
      <c r="D13" s="20">
        <v>1</v>
      </c>
    </row>
    <row r="14" spans="3:4" ht="20.25">
      <c r="C14" s="53" t="s">
        <v>165</v>
      </c>
      <c r="D14" s="20">
        <v>1</v>
      </c>
    </row>
    <row r="15" spans="3:4" ht="20.25">
      <c r="C15" s="53" t="s">
        <v>77</v>
      </c>
      <c r="D15" s="20">
        <v>1</v>
      </c>
    </row>
    <row r="16" spans="3:4" ht="20.25">
      <c r="C16" s="53" t="s">
        <v>77</v>
      </c>
      <c r="D16" s="20">
        <v>1</v>
      </c>
    </row>
    <row r="17" spans="3:4" ht="20.25">
      <c r="C17" s="53" t="s">
        <v>42</v>
      </c>
      <c r="D17" s="20">
        <v>1</v>
      </c>
    </row>
    <row r="18" spans="3:4" ht="20.25">
      <c r="C18" s="53" t="s">
        <v>167</v>
      </c>
      <c r="D18" s="20">
        <v>1</v>
      </c>
    </row>
    <row r="19" spans="3:4" ht="20.25">
      <c r="C19" s="53" t="s">
        <v>97</v>
      </c>
      <c r="D19" s="20">
        <v>1</v>
      </c>
    </row>
    <row r="20" spans="3:4" ht="20.25">
      <c r="C20" s="53" t="s">
        <v>166</v>
      </c>
      <c r="D20" s="20">
        <v>1</v>
      </c>
    </row>
    <row r="21" spans="3:4" ht="20.25">
      <c r="C21" s="53" t="s">
        <v>168</v>
      </c>
      <c r="D21" s="20">
        <v>2</v>
      </c>
    </row>
    <row r="22" spans="3:4" ht="20.25">
      <c r="C22" s="53" t="s">
        <v>123</v>
      </c>
      <c r="D22" s="20">
        <v>2</v>
      </c>
    </row>
    <row r="23" spans="3:4" ht="20.25">
      <c r="C23" s="53" t="s">
        <v>165</v>
      </c>
      <c r="D23" s="20">
        <v>1</v>
      </c>
    </row>
    <row r="24" spans="3:4" ht="20.25">
      <c r="C24" s="53" t="s">
        <v>169</v>
      </c>
      <c r="D24" s="20">
        <v>6</v>
      </c>
    </row>
    <row r="25" spans="3:4" ht="20.25">
      <c r="C25" s="53" t="s">
        <v>169</v>
      </c>
      <c r="D25" s="20">
        <v>49</v>
      </c>
    </row>
    <row r="26" spans="3:4" ht="20.25">
      <c r="C26" s="54" t="s">
        <v>169</v>
      </c>
      <c r="D26" s="21">
        <v>44</v>
      </c>
    </row>
  </sheetData>
  <conditionalFormatting sqref="D3:D4">
    <cfRule type="cellIs" dxfId="6" priority="1" operator="equal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62"/>
  <sheetViews>
    <sheetView topLeftCell="A7" zoomScale="85" zoomScaleNormal="85" workbookViewId="0">
      <selection activeCell="F22" sqref="F22"/>
    </sheetView>
  </sheetViews>
  <sheetFormatPr defaultColWidth="9" defaultRowHeight="14.25"/>
  <cols>
    <col min="1" max="1" width="15.5" customWidth="1"/>
    <col min="2" max="2" width="13.125" customWidth="1"/>
  </cols>
  <sheetData>
    <row r="3" spans="1:2">
      <c r="A3" t="s">
        <v>154</v>
      </c>
      <c r="B3" t="s">
        <v>155</v>
      </c>
    </row>
    <row r="4" spans="1:2">
      <c r="A4" s="17" t="s">
        <v>173</v>
      </c>
      <c r="B4" s="18">
        <v>74</v>
      </c>
    </row>
    <row r="5" spans="1:2">
      <c r="A5" s="17" t="s">
        <v>174</v>
      </c>
      <c r="B5" s="18">
        <v>0.1</v>
      </c>
    </row>
    <row r="6" spans="1:2">
      <c r="A6" s="17" t="s">
        <v>175</v>
      </c>
      <c r="B6" s="18">
        <v>0.04</v>
      </c>
    </row>
    <row r="7" spans="1:2">
      <c r="A7" s="17" t="s">
        <v>176</v>
      </c>
      <c r="B7" s="18">
        <v>0.1</v>
      </c>
    </row>
    <row r="8" spans="1:2">
      <c r="A8" s="17" t="s">
        <v>177</v>
      </c>
      <c r="B8" s="18">
        <v>0.04</v>
      </c>
    </row>
    <row r="9" spans="1:2">
      <c r="A9" s="17" t="s">
        <v>178</v>
      </c>
      <c r="B9" s="18">
        <v>0.04</v>
      </c>
    </row>
    <row r="10" spans="1:2">
      <c r="A10" s="17" t="s">
        <v>179</v>
      </c>
      <c r="B10" s="18">
        <v>0.12</v>
      </c>
    </row>
    <row r="11" spans="1:2">
      <c r="A11" s="17" t="s">
        <v>180</v>
      </c>
      <c r="B11" s="18">
        <v>0.05</v>
      </c>
    </row>
    <row r="12" spans="1:2">
      <c r="A12" s="17" t="s">
        <v>181</v>
      </c>
      <c r="B12" s="18">
        <v>0.1</v>
      </c>
    </row>
    <row r="13" spans="1:2">
      <c r="A13" s="17" t="s">
        <v>182</v>
      </c>
      <c r="B13" s="18">
        <v>0.04</v>
      </c>
    </row>
    <row r="14" spans="1:2">
      <c r="A14" s="17" t="s">
        <v>183</v>
      </c>
      <c r="B14" s="18">
        <v>0.04</v>
      </c>
    </row>
    <row r="15" spans="1:2">
      <c r="A15" s="17" t="s">
        <v>184</v>
      </c>
      <c r="B15" s="18">
        <v>0.08</v>
      </c>
    </row>
    <row r="16" spans="1:2">
      <c r="A16" s="17" t="s">
        <v>185</v>
      </c>
      <c r="B16" s="18">
        <v>0.1</v>
      </c>
    </row>
    <row r="17" spans="1:2">
      <c r="A17" s="17" t="s">
        <v>186</v>
      </c>
      <c r="B17" s="18">
        <v>0.23</v>
      </c>
    </row>
    <row r="18" spans="1:2">
      <c r="A18" s="17" t="s">
        <v>187</v>
      </c>
      <c r="B18" s="18">
        <v>0.22</v>
      </c>
    </row>
    <row r="19" spans="1:2">
      <c r="A19" s="17" t="s">
        <v>188</v>
      </c>
      <c r="B19" s="18">
        <v>0.11</v>
      </c>
    </row>
    <row r="20" spans="1:2">
      <c r="A20" s="17" t="s">
        <v>189</v>
      </c>
      <c r="B20" s="18">
        <v>0.11</v>
      </c>
    </row>
    <row r="21" spans="1:2">
      <c r="A21" s="17" t="s">
        <v>190</v>
      </c>
      <c r="B21" s="18">
        <v>0.11</v>
      </c>
    </row>
    <row r="22" spans="1:2">
      <c r="A22" s="17" t="s">
        <v>191</v>
      </c>
      <c r="B22" s="18">
        <v>0.11</v>
      </c>
    </row>
    <row r="23" spans="1:2">
      <c r="A23" s="17" t="s">
        <v>192</v>
      </c>
      <c r="B23" s="18">
        <v>0.04</v>
      </c>
    </row>
    <row r="24" spans="1:2">
      <c r="A24" s="17" t="s">
        <v>193</v>
      </c>
      <c r="B24" s="18">
        <v>0.04</v>
      </c>
    </row>
    <row r="25" spans="1:2">
      <c r="A25" s="17" t="s">
        <v>194</v>
      </c>
      <c r="B25" s="18">
        <v>19</v>
      </c>
    </row>
    <row r="26" spans="1:2">
      <c r="A26" s="17" t="s">
        <v>195</v>
      </c>
      <c r="B26" s="18">
        <v>55</v>
      </c>
    </row>
    <row r="27" spans="1:2">
      <c r="A27" s="17" t="s">
        <v>196</v>
      </c>
      <c r="B27" s="18">
        <v>1</v>
      </c>
    </row>
    <row r="28" spans="1:2">
      <c r="A28" s="17" t="s">
        <v>197</v>
      </c>
      <c r="B28" s="18">
        <v>0.04</v>
      </c>
    </row>
    <row r="29" spans="1:2">
      <c r="A29" s="17" t="s">
        <v>198</v>
      </c>
      <c r="B29" s="18">
        <v>0.25</v>
      </c>
    </row>
    <row r="30" spans="1:2">
      <c r="A30" s="17" t="s">
        <v>199</v>
      </c>
      <c r="B30" s="18">
        <v>0.25</v>
      </c>
    </row>
    <row r="31" spans="1:2">
      <c r="A31" s="17" t="s">
        <v>200</v>
      </c>
      <c r="B31" s="18">
        <v>0.08</v>
      </c>
    </row>
    <row r="32" spans="1:2">
      <c r="A32" s="17" t="s">
        <v>201</v>
      </c>
      <c r="B32" s="18">
        <v>0.11</v>
      </c>
    </row>
    <row r="33" spans="1:2">
      <c r="A33" s="17" t="s">
        <v>202</v>
      </c>
      <c r="B33" s="18">
        <v>3</v>
      </c>
    </row>
    <row r="34" spans="1:2">
      <c r="A34" s="17" t="s">
        <v>203</v>
      </c>
      <c r="B34" s="18">
        <v>6</v>
      </c>
    </row>
    <row r="35" spans="1:2">
      <c r="A35" s="17" t="s">
        <v>204</v>
      </c>
      <c r="B35" s="18">
        <v>0.25</v>
      </c>
    </row>
    <row r="36" spans="1:2">
      <c r="A36" s="17" t="s">
        <v>205</v>
      </c>
      <c r="B36" s="18">
        <v>0.25</v>
      </c>
    </row>
    <row r="37" spans="1:2">
      <c r="A37" s="17" t="s">
        <v>206</v>
      </c>
      <c r="B37" s="18">
        <v>1</v>
      </c>
    </row>
    <row r="38" spans="1:2">
      <c r="A38" s="17" t="s">
        <v>207</v>
      </c>
      <c r="B38" s="18">
        <v>0.04</v>
      </c>
    </row>
    <row r="39" spans="1:2">
      <c r="A39" s="17" t="s">
        <v>208</v>
      </c>
      <c r="B39" s="18">
        <v>0.13</v>
      </c>
    </row>
    <row r="40" spans="1:2">
      <c r="A40" s="17" t="s">
        <v>209</v>
      </c>
      <c r="B40" s="18">
        <v>182</v>
      </c>
    </row>
    <row r="41" spans="1:2">
      <c r="A41" s="17" t="s">
        <v>210</v>
      </c>
      <c r="B41" s="18">
        <v>6</v>
      </c>
    </row>
    <row r="42" spans="1:2">
      <c r="A42" s="17" t="s">
        <v>211</v>
      </c>
      <c r="B42" s="18">
        <v>20</v>
      </c>
    </row>
    <row r="43" spans="1:2">
      <c r="A43" s="17" t="s">
        <v>212</v>
      </c>
      <c r="B43" s="18">
        <v>0.4</v>
      </c>
    </row>
    <row r="44" spans="1:2">
      <c r="A44" s="17" t="s">
        <v>213</v>
      </c>
      <c r="B44" s="18">
        <v>0.4</v>
      </c>
    </row>
    <row r="45" spans="1:2">
      <c r="A45" s="17" t="s">
        <v>214</v>
      </c>
      <c r="B45" s="18">
        <v>0.2</v>
      </c>
    </row>
    <row r="46" spans="1:2">
      <c r="A46" s="17" t="s">
        <v>215</v>
      </c>
      <c r="B46" s="18">
        <v>0.05</v>
      </c>
    </row>
    <row r="47" spans="1:2">
      <c r="A47" s="17" t="s">
        <v>216</v>
      </c>
      <c r="B47" s="18">
        <v>0.04</v>
      </c>
    </row>
    <row r="48" spans="1:2">
      <c r="A48" s="17" t="s">
        <v>217</v>
      </c>
      <c r="B48" s="18">
        <v>1</v>
      </c>
    </row>
    <row r="49" spans="1:2">
      <c r="A49" s="17" t="s">
        <v>218</v>
      </c>
      <c r="B49" s="18">
        <v>1</v>
      </c>
    </row>
    <row r="50" spans="1:2">
      <c r="A50" s="17" t="s">
        <v>219</v>
      </c>
      <c r="B50" s="18">
        <v>0.04</v>
      </c>
    </row>
    <row r="51" spans="1:2">
      <c r="A51" s="17" t="s">
        <v>220</v>
      </c>
      <c r="B51" s="18">
        <v>0.5</v>
      </c>
    </row>
    <row r="52" spans="1:2">
      <c r="A52" s="17" t="s">
        <v>221</v>
      </c>
      <c r="B52" s="18">
        <v>0.5</v>
      </c>
    </row>
    <row r="53" spans="1:2">
      <c r="A53" s="17" t="s">
        <v>222</v>
      </c>
      <c r="B53" s="18">
        <v>0.05</v>
      </c>
    </row>
    <row r="54" spans="1:2">
      <c r="A54" s="17" t="s">
        <v>223</v>
      </c>
      <c r="B54" s="18">
        <v>7.0000000000000007E-2</v>
      </c>
    </row>
    <row r="55" spans="1:2">
      <c r="A55" s="17" t="s">
        <v>224</v>
      </c>
      <c r="B55" s="18">
        <v>0.1</v>
      </c>
    </row>
    <row r="56" spans="1:2">
      <c r="A56" s="17" t="s">
        <v>225</v>
      </c>
      <c r="B56" s="18">
        <v>0.13</v>
      </c>
    </row>
    <row r="57" spans="1:2">
      <c r="A57" s="17" t="s">
        <v>226</v>
      </c>
      <c r="B57" s="18">
        <v>0.1</v>
      </c>
    </row>
    <row r="58" spans="1:2">
      <c r="A58" s="17" t="s">
        <v>227</v>
      </c>
      <c r="B58" s="19">
        <v>0.1</v>
      </c>
    </row>
    <row r="59" spans="1:2">
      <c r="A59" s="17" t="s">
        <v>228</v>
      </c>
      <c r="B59" s="19">
        <v>0.1</v>
      </c>
    </row>
    <row r="60" spans="1:2">
      <c r="A60" s="17" t="s">
        <v>229</v>
      </c>
      <c r="B60" s="19">
        <v>1</v>
      </c>
    </row>
    <row r="61" spans="1:2">
      <c r="A61" s="17" t="s">
        <v>230</v>
      </c>
      <c r="B61" s="18">
        <v>3</v>
      </c>
    </row>
    <row r="62" spans="1:2">
      <c r="A62" s="17" t="s">
        <v>170</v>
      </c>
      <c r="B62" s="19">
        <v>379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78"/>
  <sheetViews>
    <sheetView topLeftCell="A23" zoomScale="85" zoomScaleNormal="85" workbookViewId="0">
      <selection activeCell="I46" sqref="I45:I46"/>
    </sheetView>
  </sheetViews>
  <sheetFormatPr defaultColWidth="9" defaultRowHeight="14.25"/>
  <cols>
    <col min="2" max="2" width="20" customWidth="1"/>
    <col min="3" max="3" width="8.75" customWidth="1"/>
  </cols>
  <sheetData>
    <row r="1" spans="2:3">
      <c r="B1" t="s">
        <v>171</v>
      </c>
      <c r="C1" t="s">
        <v>172</v>
      </c>
    </row>
    <row r="2" spans="2:3" ht="20.25">
      <c r="B2" s="6" t="s">
        <v>220</v>
      </c>
      <c r="C2" s="7">
        <v>0.5</v>
      </c>
    </row>
    <row r="3" spans="2:3" ht="20.25">
      <c r="B3" s="6" t="s">
        <v>221</v>
      </c>
      <c r="C3" s="7">
        <v>0.5</v>
      </c>
    </row>
    <row r="4" spans="2:3" ht="20.25">
      <c r="B4" s="6" t="s">
        <v>217</v>
      </c>
      <c r="C4" s="8">
        <v>1</v>
      </c>
    </row>
    <row r="5" spans="2:3" ht="20.25">
      <c r="B5" s="6" t="s">
        <v>218</v>
      </c>
      <c r="C5" s="8">
        <v>1</v>
      </c>
    </row>
    <row r="6" spans="2:3" ht="15" customHeight="1">
      <c r="B6" s="6" t="s">
        <v>174</v>
      </c>
      <c r="C6" s="9">
        <v>0.04</v>
      </c>
    </row>
    <row r="7" spans="2:3" ht="15" customHeight="1">
      <c r="B7" s="6" t="s">
        <v>174</v>
      </c>
      <c r="C7" s="9">
        <v>0.06</v>
      </c>
    </row>
    <row r="8" spans="2:3" ht="20.25">
      <c r="B8" s="6" t="s">
        <v>193</v>
      </c>
      <c r="C8" s="9">
        <v>0.04</v>
      </c>
    </row>
    <row r="9" spans="2:3" ht="15" customHeight="1">
      <c r="B9" s="10" t="s">
        <v>184</v>
      </c>
      <c r="C9" s="9">
        <v>0.04</v>
      </c>
    </row>
    <row r="10" spans="2:3" ht="15" customHeight="1">
      <c r="B10" s="10" t="s">
        <v>184</v>
      </c>
      <c r="C10" s="9">
        <v>0.04</v>
      </c>
    </row>
    <row r="11" spans="2:3" ht="20.25">
      <c r="B11" s="6" t="s">
        <v>178</v>
      </c>
      <c r="C11" s="9">
        <v>0.04</v>
      </c>
    </row>
    <row r="12" spans="2:3" ht="20.25">
      <c r="B12" s="6" t="s">
        <v>175</v>
      </c>
      <c r="C12" s="9">
        <v>0.04</v>
      </c>
    </row>
    <row r="13" spans="2:3" ht="20.25">
      <c r="B13" s="6" t="s">
        <v>216</v>
      </c>
      <c r="C13" s="9">
        <v>0.04</v>
      </c>
    </row>
    <row r="14" spans="2:3" ht="20.25">
      <c r="B14" s="6" t="s">
        <v>197</v>
      </c>
      <c r="C14" s="9">
        <v>0.04</v>
      </c>
    </row>
    <row r="15" spans="2:3" ht="20.25">
      <c r="B15" s="6" t="s">
        <v>177</v>
      </c>
      <c r="C15" s="9">
        <v>0.04</v>
      </c>
    </row>
    <row r="16" spans="2:3" ht="20.25">
      <c r="B16" s="6" t="s">
        <v>182</v>
      </c>
      <c r="C16" s="9">
        <v>0.04</v>
      </c>
    </row>
    <row r="17" spans="2:3" ht="20.25">
      <c r="B17" s="6" t="s">
        <v>183</v>
      </c>
      <c r="C17" s="9">
        <v>0.04</v>
      </c>
    </row>
    <row r="18" spans="2:3" ht="20.25">
      <c r="B18" s="11" t="s">
        <v>207</v>
      </c>
      <c r="C18" s="9">
        <v>0.04</v>
      </c>
    </row>
    <row r="19" spans="2:3" ht="20.25">
      <c r="B19" s="6" t="s">
        <v>192</v>
      </c>
      <c r="C19" s="9">
        <v>0.04</v>
      </c>
    </row>
    <row r="20" spans="2:3" ht="15" customHeight="1">
      <c r="B20" s="6" t="s">
        <v>185</v>
      </c>
      <c r="C20" s="9">
        <v>0.06</v>
      </c>
    </row>
    <row r="21" spans="2:3" ht="15" customHeight="1">
      <c r="B21" s="6" t="s">
        <v>185</v>
      </c>
      <c r="C21" s="9">
        <v>0.04</v>
      </c>
    </row>
    <row r="22" spans="2:3" ht="20.25">
      <c r="B22" s="12" t="s">
        <v>219</v>
      </c>
      <c r="C22" s="9">
        <v>0.04</v>
      </c>
    </row>
    <row r="23" spans="2:3" ht="15" customHeight="1">
      <c r="B23" s="6" t="s">
        <v>227</v>
      </c>
      <c r="C23" s="9">
        <v>0.04</v>
      </c>
    </row>
    <row r="24" spans="2:3" ht="15" customHeight="1">
      <c r="B24" s="6" t="s">
        <v>227</v>
      </c>
      <c r="C24" s="9">
        <v>0.06</v>
      </c>
    </row>
    <row r="25" spans="2:3" ht="15" customHeight="1">
      <c r="B25" s="6" t="s">
        <v>228</v>
      </c>
      <c r="C25" s="9">
        <v>0.04</v>
      </c>
    </row>
    <row r="26" spans="2:3" ht="15" customHeight="1">
      <c r="B26" s="6" t="s">
        <v>228</v>
      </c>
      <c r="C26" s="9">
        <v>0.06</v>
      </c>
    </row>
    <row r="27" spans="2:3" ht="15" customHeight="1">
      <c r="B27" s="10" t="s">
        <v>200</v>
      </c>
      <c r="C27" s="9">
        <v>0.04</v>
      </c>
    </row>
    <row r="28" spans="2:3" ht="15" customHeight="1">
      <c r="B28" s="10" t="s">
        <v>200</v>
      </c>
      <c r="C28" s="8">
        <v>0.04</v>
      </c>
    </row>
    <row r="29" spans="2:3" ht="15" customHeight="1">
      <c r="B29" s="6" t="s">
        <v>225</v>
      </c>
      <c r="C29" s="7">
        <v>0.08</v>
      </c>
    </row>
    <row r="30" spans="2:3" ht="15" customHeight="1">
      <c r="B30" s="6" t="s">
        <v>225</v>
      </c>
      <c r="C30" s="7">
        <v>0.05</v>
      </c>
    </row>
    <row r="31" spans="2:3" ht="20.25">
      <c r="B31" s="6" t="s">
        <v>180</v>
      </c>
      <c r="C31" s="7">
        <v>0.05</v>
      </c>
    </row>
    <row r="32" spans="2:3" ht="15" customHeight="1">
      <c r="B32" s="6" t="s">
        <v>224</v>
      </c>
      <c r="C32" s="7">
        <v>0.05</v>
      </c>
    </row>
    <row r="33" spans="2:3" ht="15" customHeight="1">
      <c r="B33" s="6" t="s">
        <v>224</v>
      </c>
      <c r="C33" s="7">
        <v>0.05</v>
      </c>
    </row>
    <row r="34" spans="2:3" ht="15" customHeight="1">
      <c r="B34" s="6" t="s">
        <v>181</v>
      </c>
      <c r="C34" s="7">
        <v>0.05</v>
      </c>
    </row>
    <row r="35" spans="2:3" ht="15" customHeight="1">
      <c r="B35" s="6" t="s">
        <v>181</v>
      </c>
      <c r="C35" s="7">
        <v>0.05</v>
      </c>
    </row>
    <row r="36" spans="2:3" ht="15" customHeight="1">
      <c r="B36" s="10" t="s">
        <v>179</v>
      </c>
      <c r="C36" s="7">
        <v>0.05</v>
      </c>
    </row>
    <row r="37" spans="2:3" ht="15" customHeight="1">
      <c r="B37" s="10" t="s">
        <v>179</v>
      </c>
      <c r="C37" s="7">
        <v>7.0000000000000007E-2</v>
      </c>
    </row>
    <row r="38" spans="2:3" ht="20.25">
      <c r="B38" s="6" t="s">
        <v>223</v>
      </c>
      <c r="C38" s="7">
        <v>7.0000000000000007E-2</v>
      </c>
    </row>
    <row r="39" spans="2:3" ht="15" customHeight="1">
      <c r="B39" s="10" t="s">
        <v>226</v>
      </c>
      <c r="C39" s="7">
        <v>0.05</v>
      </c>
    </row>
    <row r="40" spans="2:3" ht="15" customHeight="1">
      <c r="B40" s="10" t="s">
        <v>226</v>
      </c>
      <c r="C40" s="7">
        <v>0.05</v>
      </c>
    </row>
    <row r="41" spans="2:3" ht="20.25">
      <c r="B41" s="6" t="s">
        <v>222</v>
      </c>
      <c r="C41" s="7">
        <v>0.05</v>
      </c>
    </row>
    <row r="42" spans="2:3" ht="15" customHeight="1">
      <c r="B42" s="6" t="s">
        <v>176</v>
      </c>
      <c r="C42" s="7">
        <v>0.05</v>
      </c>
    </row>
    <row r="43" spans="2:3" ht="15" customHeight="1">
      <c r="B43" s="6" t="s">
        <v>176</v>
      </c>
      <c r="C43" s="7">
        <v>0.05</v>
      </c>
    </row>
    <row r="44" spans="2:3" ht="15" customHeight="1">
      <c r="B44" s="10" t="s">
        <v>208</v>
      </c>
      <c r="C44" s="7">
        <v>0.08</v>
      </c>
    </row>
    <row r="45" spans="2:3" ht="15" customHeight="1">
      <c r="B45" s="10" t="s">
        <v>208</v>
      </c>
      <c r="C45" s="7">
        <v>0.05</v>
      </c>
    </row>
    <row r="46" spans="2:3" ht="20.25">
      <c r="B46" s="6" t="s">
        <v>215</v>
      </c>
      <c r="C46" s="7">
        <v>0.05</v>
      </c>
    </row>
    <row r="47" spans="2:3" ht="15" customHeight="1">
      <c r="B47" s="10" t="s">
        <v>213</v>
      </c>
      <c r="C47" s="9">
        <v>0.2</v>
      </c>
    </row>
    <row r="48" spans="2:3" ht="15" customHeight="1">
      <c r="B48" s="10" t="s">
        <v>213</v>
      </c>
      <c r="C48" s="9">
        <v>0.2</v>
      </c>
    </row>
    <row r="49" spans="2:3" ht="15" customHeight="1">
      <c r="B49" s="6" t="s">
        <v>212</v>
      </c>
      <c r="C49" s="9">
        <v>0.2</v>
      </c>
    </row>
    <row r="50" spans="2:3" ht="15" customHeight="1">
      <c r="B50" s="6" t="s">
        <v>212</v>
      </c>
      <c r="C50" s="9">
        <v>0.2</v>
      </c>
    </row>
    <row r="51" spans="2:3" ht="20.25">
      <c r="B51" s="6" t="s">
        <v>214</v>
      </c>
      <c r="C51" s="9">
        <v>0.2</v>
      </c>
    </row>
    <row r="52" spans="2:3" ht="15" customHeight="1">
      <c r="B52" s="6" t="s">
        <v>229</v>
      </c>
      <c r="C52" s="13">
        <v>0.5</v>
      </c>
    </row>
    <row r="53" spans="2:3" ht="15" customHeight="1">
      <c r="B53" s="6" t="s">
        <v>229</v>
      </c>
      <c r="C53" s="14">
        <v>0.5</v>
      </c>
    </row>
    <row r="54" spans="2:3" ht="15" customHeight="1">
      <c r="B54" s="10" t="s">
        <v>186</v>
      </c>
      <c r="C54" s="13">
        <v>0.12</v>
      </c>
    </row>
    <row r="55" spans="2:3" ht="15" customHeight="1">
      <c r="B55" s="10" t="s">
        <v>186</v>
      </c>
      <c r="C55" s="13">
        <v>0.11</v>
      </c>
    </row>
    <row r="56" spans="2:3" ht="15" customHeight="1">
      <c r="B56" s="6" t="s">
        <v>187</v>
      </c>
      <c r="C56" s="13">
        <v>0.11</v>
      </c>
    </row>
    <row r="57" spans="2:3" ht="15" customHeight="1">
      <c r="B57" s="6" t="s">
        <v>187</v>
      </c>
      <c r="C57" s="13">
        <v>0.11</v>
      </c>
    </row>
    <row r="58" spans="2:3" ht="20.25">
      <c r="B58" s="6" t="s">
        <v>189</v>
      </c>
      <c r="C58" s="13">
        <v>0.11</v>
      </c>
    </row>
    <row r="59" spans="2:3" ht="20.25">
      <c r="B59" s="6" t="s">
        <v>188</v>
      </c>
      <c r="C59" s="13">
        <v>0.11</v>
      </c>
    </row>
    <row r="60" spans="2:3" ht="20.25">
      <c r="B60" s="6" t="s">
        <v>190</v>
      </c>
      <c r="C60" s="13">
        <v>0.11</v>
      </c>
    </row>
    <row r="61" spans="2:3" ht="20.25">
      <c r="B61" s="6" t="s">
        <v>201</v>
      </c>
      <c r="C61" s="13">
        <v>0.11</v>
      </c>
    </row>
    <row r="62" spans="2:3" ht="20.25">
      <c r="B62" s="6" t="s">
        <v>191</v>
      </c>
      <c r="C62" s="13">
        <v>0.11</v>
      </c>
    </row>
    <row r="63" spans="2:3" ht="18">
      <c r="B63" s="11" t="s">
        <v>206</v>
      </c>
      <c r="C63" s="7">
        <v>1</v>
      </c>
    </row>
    <row r="64" spans="2:3" ht="18">
      <c r="B64" s="10" t="s">
        <v>202</v>
      </c>
      <c r="C64" s="15">
        <v>3</v>
      </c>
    </row>
    <row r="65" spans="2:3" ht="18">
      <c r="B65" s="10" t="s">
        <v>211</v>
      </c>
      <c r="C65" s="15">
        <v>20</v>
      </c>
    </row>
    <row r="66" spans="2:3" ht="18">
      <c r="B66" s="10" t="s">
        <v>194</v>
      </c>
      <c r="C66" s="15">
        <v>19</v>
      </c>
    </row>
    <row r="67" spans="2:3" ht="18">
      <c r="B67" s="10" t="s">
        <v>195</v>
      </c>
      <c r="C67" s="15">
        <v>55</v>
      </c>
    </row>
    <row r="68" spans="2:3" ht="18">
      <c r="B68" s="6" t="s">
        <v>204</v>
      </c>
      <c r="C68" s="16">
        <v>0.25</v>
      </c>
    </row>
    <row r="69" spans="2:3" ht="18">
      <c r="B69" s="6" t="s">
        <v>205</v>
      </c>
      <c r="C69" s="16">
        <v>0.25</v>
      </c>
    </row>
    <row r="70" spans="2:3" ht="18">
      <c r="B70" s="6" t="s">
        <v>198</v>
      </c>
      <c r="C70" s="16">
        <v>0.25</v>
      </c>
    </row>
    <row r="71" spans="2:3" ht="18">
      <c r="B71" s="6" t="s">
        <v>199</v>
      </c>
      <c r="C71" s="16">
        <v>0.25</v>
      </c>
    </row>
    <row r="72" spans="2:3" ht="18">
      <c r="B72" s="6" t="s">
        <v>230</v>
      </c>
      <c r="C72" s="7">
        <v>3</v>
      </c>
    </row>
    <row r="73" spans="2:3" ht="18">
      <c r="B73" s="6" t="s">
        <v>209</v>
      </c>
      <c r="C73" s="7">
        <f>6+176</f>
        <v>182</v>
      </c>
    </row>
    <row r="74" spans="2:3" ht="18">
      <c r="B74" s="6" t="s">
        <v>173</v>
      </c>
      <c r="C74" s="7">
        <f>3+71</f>
        <v>74</v>
      </c>
    </row>
    <row r="75" spans="2:3" ht="18">
      <c r="B75" s="6" t="s">
        <v>203</v>
      </c>
      <c r="C75" s="7">
        <v>6</v>
      </c>
    </row>
    <row r="76" spans="2:3" ht="18">
      <c r="B76" s="6" t="s">
        <v>210</v>
      </c>
      <c r="C76" s="7">
        <v>6</v>
      </c>
    </row>
    <row r="77" spans="2:3" ht="18">
      <c r="B77" s="6" t="s">
        <v>196</v>
      </c>
      <c r="C77" s="7">
        <v>0.5</v>
      </c>
    </row>
    <row r="78" spans="2:3" ht="18">
      <c r="B78" s="10" t="s">
        <v>196</v>
      </c>
      <c r="C78" s="13">
        <v>0.5</v>
      </c>
    </row>
  </sheetData>
  <conditionalFormatting sqref="C2:C3 C47:C52 C54:C63 C72:C78">
    <cfRule type="cellIs" dxfId="5" priority="1" operator="equal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38"/>
  <sheetViews>
    <sheetView workbookViewId="0">
      <selection activeCell="B38" sqref="B38"/>
    </sheetView>
  </sheetViews>
  <sheetFormatPr defaultColWidth="8.625" defaultRowHeight="14.25"/>
  <cols>
    <col min="1" max="1" width="16.125"/>
    <col min="2" max="2" width="13.5"/>
  </cols>
  <sheetData>
    <row r="3" spans="1:2">
      <c r="A3" t="s">
        <v>171</v>
      </c>
      <c r="B3" t="s">
        <v>155</v>
      </c>
    </row>
    <row r="4" spans="1:2">
      <c r="A4" t="s">
        <v>231</v>
      </c>
      <c r="B4" s="5">
        <v>90</v>
      </c>
    </row>
    <row r="5" spans="1:2">
      <c r="A5" t="s">
        <v>232</v>
      </c>
      <c r="B5" s="5">
        <v>650</v>
      </c>
    </row>
    <row r="6" spans="1:2">
      <c r="A6" t="s">
        <v>233</v>
      </c>
      <c r="B6" s="5">
        <v>650</v>
      </c>
    </row>
    <row r="7" spans="1:2">
      <c r="A7" t="s">
        <v>234</v>
      </c>
      <c r="B7" s="5">
        <v>650</v>
      </c>
    </row>
    <row r="8" spans="1:2">
      <c r="A8" t="s">
        <v>235</v>
      </c>
      <c r="B8" s="5">
        <v>2</v>
      </c>
    </row>
    <row r="9" spans="1:2">
      <c r="A9" t="s">
        <v>236</v>
      </c>
      <c r="B9" s="5">
        <v>5</v>
      </c>
    </row>
    <row r="10" spans="1:2">
      <c r="A10" t="s">
        <v>237</v>
      </c>
      <c r="B10" s="5">
        <v>11</v>
      </c>
    </row>
    <row r="11" spans="1:2">
      <c r="A11" t="s">
        <v>238</v>
      </c>
      <c r="B11" s="5">
        <v>890</v>
      </c>
    </row>
    <row r="12" spans="1:2">
      <c r="A12" t="s">
        <v>239</v>
      </c>
      <c r="B12" s="5">
        <v>215</v>
      </c>
    </row>
    <row r="13" spans="1:2">
      <c r="A13" t="s">
        <v>240</v>
      </c>
      <c r="B13" s="5">
        <v>381</v>
      </c>
    </row>
    <row r="14" spans="1:2">
      <c r="A14" t="s">
        <v>241</v>
      </c>
      <c r="B14" s="5">
        <v>313</v>
      </c>
    </row>
    <row r="15" spans="1:2">
      <c r="A15" t="s">
        <v>242</v>
      </c>
      <c r="B15" s="5">
        <v>694</v>
      </c>
    </row>
    <row r="16" spans="1:2">
      <c r="A16" t="s">
        <v>243</v>
      </c>
      <c r="B16" s="5">
        <v>1008</v>
      </c>
    </row>
    <row r="17" spans="1:2">
      <c r="A17" t="s">
        <v>244</v>
      </c>
      <c r="B17" s="5">
        <v>16</v>
      </c>
    </row>
    <row r="18" spans="1:2">
      <c r="A18" t="s">
        <v>245</v>
      </c>
      <c r="B18" s="5">
        <v>3.3</v>
      </c>
    </row>
    <row r="19" spans="1:2">
      <c r="A19" t="s">
        <v>246</v>
      </c>
      <c r="B19" s="5">
        <v>2.6</v>
      </c>
    </row>
    <row r="20" spans="1:2">
      <c r="A20" t="s">
        <v>247</v>
      </c>
      <c r="B20" s="5">
        <v>1.8</v>
      </c>
    </row>
    <row r="21" spans="1:2">
      <c r="A21" t="s">
        <v>248</v>
      </c>
      <c r="B21" s="5">
        <v>35</v>
      </c>
    </row>
    <row r="22" spans="1:2">
      <c r="A22" t="s">
        <v>249</v>
      </c>
      <c r="B22" s="5">
        <v>0.6</v>
      </c>
    </row>
    <row r="23" spans="1:2">
      <c r="A23" t="s">
        <v>250</v>
      </c>
      <c r="B23" s="5">
        <v>0.5</v>
      </c>
    </row>
    <row r="24" spans="1:2">
      <c r="A24" t="s">
        <v>251</v>
      </c>
      <c r="B24" s="5">
        <v>0.1</v>
      </c>
    </row>
    <row r="25" spans="1:2">
      <c r="A25" t="s">
        <v>252</v>
      </c>
      <c r="B25" s="5">
        <v>0.6</v>
      </c>
    </row>
    <row r="26" spans="1:2">
      <c r="A26" t="s">
        <v>253</v>
      </c>
      <c r="B26" s="5">
        <v>100</v>
      </c>
    </row>
    <row r="27" spans="1:2">
      <c r="A27" t="s">
        <v>254</v>
      </c>
      <c r="B27" s="5">
        <v>100</v>
      </c>
    </row>
    <row r="28" spans="1:2">
      <c r="A28" t="s">
        <v>255</v>
      </c>
      <c r="B28" s="5">
        <v>10</v>
      </c>
    </row>
    <row r="29" spans="1:2">
      <c r="A29" t="s">
        <v>256</v>
      </c>
      <c r="B29" s="5">
        <v>0.5</v>
      </c>
    </row>
    <row r="30" spans="1:2">
      <c r="A30" t="s">
        <v>257</v>
      </c>
      <c r="B30" s="5">
        <v>0.5</v>
      </c>
    </row>
    <row r="31" spans="1:2">
      <c r="A31" t="s">
        <v>258</v>
      </c>
      <c r="B31" s="5">
        <v>1</v>
      </c>
    </row>
    <row r="32" spans="1:2">
      <c r="A32" t="s">
        <v>259</v>
      </c>
      <c r="B32" s="5">
        <v>0.6</v>
      </c>
    </row>
    <row r="33" spans="1:2">
      <c r="A33" t="s">
        <v>260</v>
      </c>
      <c r="B33" s="5">
        <v>0.2</v>
      </c>
    </row>
    <row r="34" spans="1:2">
      <c r="A34" t="s">
        <v>261</v>
      </c>
      <c r="B34" s="5">
        <v>0.2</v>
      </c>
    </row>
    <row r="35" spans="1:2">
      <c r="A35" t="s">
        <v>262</v>
      </c>
      <c r="B35" s="5">
        <v>1</v>
      </c>
    </row>
    <row r="36" spans="1:2">
      <c r="A36" t="s">
        <v>263</v>
      </c>
      <c r="B36" s="5">
        <v>5.2</v>
      </c>
    </row>
    <row r="37" spans="1:2">
      <c r="A37" t="s">
        <v>264</v>
      </c>
      <c r="B37" s="5">
        <v>2.2999999999999998</v>
      </c>
    </row>
    <row r="38" spans="1:2">
      <c r="A38" t="s">
        <v>170</v>
      </c>
      <c r="B38">
        <v>5841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C77"/>
  <sheetViews>
    <sheetView workbookViewId="0">
      <selection activeCell="B1" sqref="B1:C77"/>
    </sheetView>
  </sheetViews>
  <sheetFormatPr defaultColWidth="8.625" defaultRowHeight="14.25"/>
  <cols>
    <col min="2" max="2" width="18.625" customWidth="1"/>
  </cols>
  <sheetData>
    <row r="1" spans="2:3">
      <c r="B1" t="s">
        <v>171</v>
      </c>
      <c r="C1" t="s">
        <v>172</v>
      </c>
    </row>
    <row r="2" spans="2:3" ht="17.25">
      <c r="B2" s="1" t="s">
        <v>244</v>
      </c>
      <c r="C2" s="2">
        <v>16</v>
      </c>
    </row>
    <row r="3" spans="2:3" ht="17.25">
      <c r="B3" s="1" t="s">
        <v>239</v>
      </c>
      <c r="C3" s="2">
        <v>215</v>
      </c>
    </row>
    <row r="4" spans="2:3" ht="17.25">
      <c r="B4" s="1" t="s">
        <v>241</v>
      </c>
      <c r="C4" s="2">
        <v>252</v>
      </c>
    </row>
    <row r="5" spans="2:3" ht="17.25">
      <c r="B5" s="1" t="s">
        <v>243</v>
      </c>
      <c r="C5" s="2">
        <v>252</v>
      </c>
    </row>
    <row r="6" spans="2:3" ht="17.25">
      <c r="B6" s="1" t="s">
        <v>237</v>
      </c>
      <c r="C6" s="2">
        <v>1</v>
      </c>
    </row>
    <row r="7" spans="2:3" ht="17.25">
      <c r="B7" s="1" t="s">
        <v>237</v>
      </c>
      <c r="C7" s="2">
        <v>10</v>
      </c>
    </row>
    <row r="8" spans="2:3" ht="17.25">
      <c r="B8" s="1" t="s">
        <v>235</v>
      </c>
      <c r="C8" s="2">
        <v>2</v>
      </c>
    </row>
    <row r="9" spans="2:3" ht="17.25">
      <c r="B9" s="1" t="s">
        <v>236</v>
      </c>
      <c r="C9" s="2">
        <v>5</v>
      </c>
    </row>
    <row r="10" spans="2:3" ht="17.25">
      <c r="B10" s="1" t="s">
        <v>242</v>
      </c>
      <c r="C10" s="2">
        <v>120</v>
      </c>
    </row>
    <row r="11" spans="2:3" ht="17.25">
      <c r="B11" s="1" t="s">
        <v>242</v>
      </c>
      <c r="C11" s="2">
        <v>0</v>
      </c>
    </row>
    <row r="12" spans="2:3" ht="17.25">
      <c r="B12" s="1" t="s">
        <v>238</v>
      </c>
      <c r="C12" s="2">
        <v>127</v>
      </c>
    </row>
    <row r="13" spans="2:3" ht="17.25">
      <c r="B13" s="1" t="s">
        <v>238</v>
      </c>
      <c r="C13" s="2">
        <v>1</v>
      </c>
    </row>
    <row r="14" spans="2:3" ht="17.25">
      <c r="B14" s="1" t="s">
        <v>231</v>
      </c>
      <c r="C14" s="2">
        <v>30</v>
      </c>
    </row>
    <row r="15" spans="2:3" ht="17.25">
      <c r="B15" s="1" t="s">
        <v>242</v>
      </c>
      <c r="C15" s="2">
        <v>127</v>
      </c>
    </row>
    <row r="16" spans="2:3" ht="17.25">
      <c r="B16" s="1" t="s">
        <v>242</v>
      </c>
      <c r="C16" s="2">
        <v>127</v>
      </c>
    </row>
    <row r="17" spans="2:3" ht="17.25">
      <c r="B17" s="1" t="s">
        <v>242</v>
      </c>
      <c r="C17" s="2">
        <v>7</v>
      </c>
    </row>
    <row r="18" spans="2:3" ht="17.25">
      <c r="B18" s="1" t="s">
        <v>238</v>
      </c>
      <c r="C18" s="2">
        <v>127</v>
      </c>
    </row>
    <row r="19" spans="2:3" ht="17.25">
      <c r="B19" s="1" t="s">
        <v>238</v>
      </c>
      <c r="C19" s="2">
        <v>127</v>
      </c>
    </row>
    <row r="20" spans="2:3" ht="17.25">
      <c r="B20" s="1" t="s">
        <v>232</v>
      </c>
      <c r="C20" s="2">
        <v>650</v>
      </c>
    </row>
    <row r="21" spans="2:3" ht="17.25">
      <c r="B21" s="1" t="s">
        <v>233</v>
      </c>
      <c r="C21" s="2">
        <v>650</v>
      </c>
    </row>
    <row r="22" spans="2:3" ht="17.25">
      <c r="B22" s="1" t="s">
        <v>234</v>
      </c>
      <c r="C22" s="2">
        <v>650</v>
      </c>
    </row>
    <row r="23" spans="2:3" ht="17.25">
      <c r="B23" s="1" t="s">
        <v>253</v>
      </c>
      <c r="C23" s="2">
        <v>100</v>
      </c>
    </row>
    <row r="24" spans="2:3" ht="17.25">
      <c r="B24" s="1" t="s">
        <v>254</v>
      </c>
      <c r="C24" s="2">
        <v>100</v>
      </c>
    </row>
    <row r="25" spans="2:3" ht="17.25">
      <c r="B25" s="1" t="s">
        <v>241</v>
      </c>
      <c r="C25" s="3">
        <v>61</v>
      </c>
    </row>
    <row r="26" spans="2:3" ht="17.25">
      <c r="B26" s="1" t="s">
        <v>243</v>
      </c>
      <c r="C26" s="3">
        <v>756</v>
      </c>
    </row>
    <row r="27" spans="2:3" ht="17.25">
      <c r="B27" s="1" t="s">
        <v>242</v>
      </c>
      <c r="C27" s="3">
        <v>29</v>
      </c>
    </row>
    <row r="28" spans="2:3" ht="17.25">
      <c r="B28" s="1" t="s">
        <v>240</v>
      </c>
      <c r="C28" s="3">
        <v>127</v>
      </c>
    </row>
    <row r="29" spans="2:3" ht="17.25">
      <c r="B29" s="1" t="s">
        <v>240</v>
      </c>
      <c r="C29" s="3">
        <v>127</v>
      </c>
    </row>
    <row r="30" spans="2:3" ht="20.25">
      <c r="B30" s="4" t="s">
        <v>238</v>
      </c>
      <c r="C30" s="4">
        <v>127</v>
      </c>
    </row>
    <row r="31" spans="2:3" ht="20.25">
      <c r="B31" s="4" t="s">
        <v>242</v>
      </c>
      <c r="C31" s="4">
        <v>30</v>
      </c>
    </row>
    <row r="32" spans="2:3" ht="18">
      <c r="B32" s="4" t="s">
        <v>242</v>
      </c>
      <c r="C32" s="4">
        <v>86</v>
      </c>
    </row>
    <row r="33" spans="2:3" ht="18">
      <c r="B33" s="4" t="s">
        <v>242</v>
      </c>
      <c r="C33" s="4">
        <v>41</v>
      </c>
    </row>
    <row r="34" spans="2:3" ht="18">
      <c r="B34" s="4" t="s">
        <v>240</v>
      </c>
      <c r="C34" s="4">
        <v>127</v>
      </c>
    </row>
    <row r="35" spans="2:3" ht="18">
      <c r="B35" s="4" t="s">
        <v>238</v>
      </c>
      <c r="C35" s="4">
        <v>127</v>
      </c>
    </row>
    <row r="36" spans="2:3" ht="18">
      <c r="B36" s="4" t="s">
        <v>238</v>
      </c>
      <c r="C36" s="4">
        <v>127</v>
      </c>
    </row>
    <row r="37" spans="2:3" ht="18">
      <c r="B37" s="4" t="s">
        <v>231</v>
      </c>
      <c r="C37" s="4">
        <v>60</v>
      </c>
    </row>
    <row r="38" spans="2:3" ht="18">
      <c r="B38" s="4" t="s">
        <v>242</v>
      </c>
      <c r="C38" s="4">
        <v>127</v>
      </c>
    </row>
    <row r="39" spans="2:3" ht="18">
      <c r="B39" s="4" t="s">
        <v>238</v>
      </c>
      <c r="C39" s="4">
        <v>127</v>
      </c>
    </row>
    <row r="40" spans="2:3" ht="18">
      <c r="B40" s="4" t="s">
        <v>245</v>
      </c>
      <c r="C40" s="4">
        <v>0.2</v>
      </c>
    </row>
    <row r="41" spans="2:3" ht="18">
      <c r="B41" s="4" t="s">
        <v>246</v>
      </c>
      <c r="C41" s="4">
        <v>0.2</v>
      </c>
    </row>
    <row r="42" spans="2:3" ht="18">
      <c r="B42" s="4" t="s">
        <v>247</v>
      </c>
      <c r="C42" s="4">
        <v>0.3</v>
      </c>
    </row>
    <row r="43" spans="2:3" ht="18">
      <c r="B43" s="4" t="s">
        <v>251</v>
      </c>
      <c r="C43" s="4">
        <v>0.1</v>
      </c>
    </row>
    <row r="44" spans="2:3" ht="18">
      <c r="B44" s="4" t="s">
        <v>245</v>
      </c>
      <c r="C44" s="4">
        <v>0.1</v>
      </c>
    </row>
    <row r="45" spans="2:3" ht="18">
      <c r="B45" s="4" t="s">
        <v>246</v>
      </c>
      <c r="C45" s="4">
        <v>0.1</v>
      </c>
    </row>
    <row r="46" spans="2:3" ht="18">
      <c r="B46" s="4" t="s">
        <v>248</v>
      </c>
      <c r="C46" s="4">
        <v>1</v>
      </c>
    </row>
    <row r="47" spans="2:3" ht="18">
      <c r="B47" s="4" t="s">
        <v>262</v>
      </c>
      <c r="C47" s="4">
        <v>1</v>
      </c>
    </row>
    <row r="48" spans="2:3" ht="18">
      <c r="B48" s="4" t="s">
        <v>247</v>
      </c>
      <c r="C48" s="4">
        <v>1</v>
      </c>
    </row>
    <row r="49" spans="2:3" ht="18">
      <c r="B49" s="4" t="s">
        <v>264</v>
      </c>
      <c r="C49" s="4">
        <v>1</v>
      </c>
    </row>
    <row r="50" spans="2:3" ht="18">
      <c r="B50" s="4" t="s">
        <v>245</v>
      </c>
      <c r="C50" s="4">
        <v>3</v>
      </c>
    </row>
    <row r="51" spans="2:3" ht="18">
      <c r="B51" s="4" t="s">
        <v>246</v>
      </c>
      <c r="C51" s="4">
        <v>1</v>
      </c>
    </row>
    <row r="52" spans="2:3" ht="18">
      <c r="B52" s="4" t="s">
        <v>247</v>
      </c>
      <c r="C52" s="4">
        <v>0.5</v>
      </c>
    </row>
    <row r="53" spans="2:3" ht="18">
      <c r="B53" s="4" t="s">
        <v>250</v>
      </c>
      <c r="C53" s="4">
        <v>0.5</v>
      </c>
    </row>
    <row r="54" spans="2:3" ht="18">
      <c r="B54" s="4" t="s">
        <v>256</v>
      </c>
      <c r="C54" s="4">
        <v>0.5</v>
      </c>
    </row>
    <row r="55" spans="2:3" ht="18">
      <c r="B55" s="4" t="s">
        <v>257</v>
      </c>
      <c r="C55" s="4">
        <v>0.5</v>
      </c>
    </row>
    <row r="56" spans="2:3" ht="18">
      <c r="B56" s="4" t="s">
        <v>248</v>
      </c>
      <c r="C56" s="4">
        <v>34</v>
      </c>
    </row>
    <row r="57" spans="2:3" ht="18">
      <c r="B57" s="4" t="s">
        <v>246</v>
      </c>
      <c r="C57" s="4">
        <v>0.8</v>
      </c>
    </row>
    <row r="58" spans="2:3" ht="18">
      <c r="B58" s="4" t="s">
        <v>249</v>
      </c>
      <c r="C58" s="4">
        <v>0.6</v>
      </c>
    </row>
    <row r="59" spans="2:3" ht="18">
      <c r="B59" s="4" t="s">
        <v>252</v>
      </c>
      <c r="C59" s="4">
        <v>0.6</v>
      </c>
    </row>
    <row r="60" spans="2:3" ht="18">
      <c r="B60" s="4" t="s">
        <v>258</v>
      </c>
      <c r="C60" s="4">
        <v>1</v>
      </c>
    </row>
    <row r="61" spans="2:3" ht="18">
      <c r="B61" s="4" t="s">
        <v>259</v>
      </c>
      <c r="C61" s="4">
        <v>0.6</v>
      </c>
    </row>
    <row r="62" spans="2:3" ht="18">
      <c r="B62" s="4" t="s">
        <v>260</v>
      </c>
      <c r="C62" s="4">
        <v>0.2</v>
      </c>
    </row>
    <row r="63" spans="2:3" ht="18">
      <c r="B63" s="4" t="s">
        <v>261</v>
      </c>
      <c r="C63" s="4">
        <v>0.2</v>
      </c>
    </row>
    <row r="64" spans="2:3" ht="18">
      <c r="B64" s="4" t="s">
        <v>263</v>
      </c>
      <c r="C64" s="4">
        <v>0.5</v>
      </c>
    </row>
    <row r="65" spans="2:3" ht="18">
      <c r="B65" s="4" t="s">
        <v>263</v>
      </c>
      <c r="C65" s="4">
        <v>0.5</v>
      </c>
    </row>
    <row r="66" spans="2:3" ht="18">
      <c r="B66" s="4" t="s">
        <v>263</v>
      </c>
      <c r="C66" s="4">
        <v>1</v>
      </c>
    </row>
    <row r="67" spans="2:3" ht="18">
      <c r="B67" s="4" t="s">
        <v>264</v>
      </c>
      <c r="C67" s="4">
        <v>0.5</v>
      </c>
    </row>
    <row r="68" spans="2:3" ht="18">
      <c r="B68" s="4" t="s">
        <v>246</v>
      </c>
      <c r="C68" s="4">
        <v>0.5</v>
      </c>
    </row>
    <row r="69" spans="2:3" ht="18">
      <c r="B69" s="4" t="s">
        <v>263</v>
      </c>
      <c r="C69" s="4">
        <v>3</v>
      </c>
    </row>
    <row r="70" spans="2:3" ht="18">
      <c r="B70" s="4" t="s">
        <v>264</v>
      </c>
      <c r="C70" s="4">
        <v>0.6</v>
      </c>
    </row>
    <row r="71" spans="2:3" ht="18">
      <c r="B71" s="4" t="s">
        <v>264</v>
      </c>
      <c r="C71" s="4">
        <v>0.2</v>
      </c>
    </row>
    <row r="72" spans="2:3" ht="18">
      <c r="B72" s="4" t="s">
        <v>263</v>
      </c>
      <c r="C72" s="4">
        <v>0.2</v>
      </c>
    </row>
    <row r="73" spans="2:3" ht="18">
      <c r="B73" s="4" t="s">
        <v>255</v>
      </c>
      <c r="C73" s="4">
        <v>1</v>
      </c>
    </row>
    <row r="74" spans="2:3" ht="18">
      <c r="B74" s="4" t="s">
        <v>255</v>
      </c>
      <c r="C74" s="4">
        <v>1</v>
      </c>
    </row>
    <row r="75" spans="2:3" ht="18">
      <c r="B75" s="4" t="s">
        <v>255</v>
      </c>
      <c r="C75" s="4">
        <v>5</v>
      </c>
    </row>
    <row r="76" spans="2:3" ht="18">
      <c r="B76" s="4" t="s">
        <v>255</v>
      </c>
      <c r="C76" s="4">
        <v>1</v>
      </c>
    </row>
    <row r="77" spans="2:3" ht="18">
      <c r="B77" s="4" t="s">
        <v>255</v>
      </c>
      <c r="C77" s="4">
        <v>2</v>
      </c>
    </row>
  </sheetData>
  <conditionalFormatting sqref="C2:C39">
    <cfRule type="cellIs" dxfId="4" priority="5" operator="equal">
      <formula>0.9</formula>
    </cfRule>
  </conditionalFormatting>
  <conditionalFormatting sqref="C56">
    <cfRule type="cellIs" dxfId="3" priority="4" operator="equal">
      <formula>0.9</formula>
    </cfRule>
  </conditionalFormatting>
  <conditionalFormatting sqref="C60">
    <cfRule type="cellIs" dxfId="2" priority="3" operator="equal">
      <formula>0.9</formula>
    </cfRule>
  </conditionalFormatting>
  <conditionalFormatting sqref="C66">
    <cfRule type="cellIs" dxfId="1" priority="2" operator="equal">
      <formula>0.9</formula>
    </cfRule>
  </conditionalFormatting>
  <conditionalFormatting sqref="C73:C77">
    <cfRule type="cellIs" dxfId="0" priority="1" operator="equal">
      <formula>0.9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2NI0fWVtRTY/EihOdki84AAAAAAIAAAAAABBmAAAAAQAAIAAAAFi5eD6Zx+H9ZzjBJu2J0PXflrT7YftYhzdNl1Pjq7X5AAAAAA6AAAAAAgAAIAAAADtux2BfETUszYQypgRYc/rlKLgP4MnaYZdrMcbu4L8tUAAAAF7A9xq9DH254GJwptYH7FEhuo/JAbeeYujFICSKEAyL5P8xxCz6QrQByVLGCAMQfHKM7DUea11nLdAnY488kBy3UZmffA9fUpuTzrcQMgtXQAAAAOdpXaQ+jUQDucD5Jl/1XynXGg/BbHY7Pgw0QCPdslq2prVt4N0GGomUatpHwFaO+J3tIIzcWzhtUmN9BGshUAM=</DataMashup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BE4D626231204A8A7FDE94819CCBAB" ma:contentTypeVersion="16" ma:contentTypeDescription="Create a new document." ma:contentTypeScope="" ma:versionID="a47bdc4ef613a6b1c10a24c2ffe4d1d8">
  <xsd:schema xmlns:xsd="http://www.w3.org/2001/XMLSchema" xmlns:xs="http://www.w3.org/2001/XMLSchema" xmlns:p="http://schemas.microsoft.com/office/2006/metadata/properties" xmlns:ns2="ed1b0fb5-6942-4b2d-bcd2-bf3eba86961e" xmlns:ns3="fa8b66dc-9cbe-4b27-8e7b-cc768062ebe8" targetNamespace="http://schemas.microsoft.com/office/2006/metadata/properties" ma:root="true" ma:fieldsID="2b6322d0f63eb3e992af68dd8724c0ef" ns2:_="" ns3:_="">
    <xsd:import namespace="ed1b0fb5-6942-4b2d-bcd2-bf3eba86961e"/>
    <xsd:import namespace="fa8b66dc-9cbe-4b27-8e7b-cc768062eb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b0fb5-6942-4b2d-bcd2-bf3eba869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542f4f9-df71-49c5-a9cc-8e4169c5d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b66dc-9cbe-4b27-8e7b-cc768062ebe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ac702c1-40ea-4108-a3d4-33d78695522a}" ma:internalName="TaxCatchAll" ma:showField="CatchAllData" ma:web="fa8b66dc-9cbe-4b27-8e7b-cc768062e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b66dc-9cbe-4b27-8e7b-cc768062ebe8" xsi:nil="true"/>
    <lcf76f155ced4ddcb4097134ff3c332f xmlns="ed1b0fb5-6942-4b2d-bcd2-bf3eba8696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6A8E0-F120-4C70-82C0-CB634DE0C8C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7FC5706-B178-471D-AE82-466DFC64D7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b0fb5-6942-4b2d-bcd2-bf3eba86961e"/>
    <ds:schemaRef ds:uri="fa8b66dc-9cbe-4b27-8e7b-cc768062eb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B96E1-AF35-45F5-8E4D-A2287365407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29C46C-B5CC-4571-9877-6D6BB585A84A}">
  <ds:schemaRefs>
    <ds:schemaRef ds:uri="http://schemas.microsoft.com/office/2006/metadata/properties"/>
    <ds:schemaRef ds:uri="http://schemas.microsoft.com/office/infopath/2007/PartnerControls"/>
    <ds:schemaRef ds:uri="fa8b66dc-9cbe-4b27-8e7b-cc768062ebe8"/>
    <ds:schemaRef ds:uri="ed1b0fb5-6942-4b2d-bcd2-bf3eba8696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Sample</vt:lpstr>
      <vt:lpstr>CAAU2728139</vt:lpstr>
      <vt:lpstr>SITU2748473</vt:lpstr>
      <vt:lpstr>FTAU2289628</vt:lpstr>
      <vt:lpstr>HPCU2855063</vt:lpstr>
      <vt:lpstr>TIIU2238348</vt:lpstr>
      <vt:lpstr>SITU2474182</vt:lpstr>
      <vt:lpstr>BEAU2716100</vt:lpstr>
      <vt:lpstr>Sheet6</vt:lpstr>
      <vt:lpstr>Sheet4</vt:lpstr>
      <vt:lpstr>Sheet5</vt:lpstr>
      <vt:lpstr>Sheet2</vt:lpstr>
      <vt:lpstr>Sheet3</vt:lpstr>
      <vt:lpstr>Sheet1</vt:lpstr>
    </vt:vector>
  </TitlesOfParts>
  <Company>SDMIEC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SCAN_Naphat Noomthong&lt;OEM&gt;</cp:lastModifiedBy>
  <cp:lastPrinted>2026-03-14T02:46:58Z</cp:lastPrinted>
  <dcterms:created xsi:type="dcterms:W3CDTF">2003-04-07T01:33:00Z</dcterms:created>
  <dcterms:modified xsi:type="dcterms:W3CDTF">2026-03-14T03:23:14Z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3931C5B8143940A1A8A29951793CA007_12</vt:lpwstr>
  </property>
  <property fmtid="{D5CDD505-2E9C-101B-9397-08002B2CF9AE}" pid="5" name="CalculationRule">
    <vt:i4>0</vt:i4>
  </property>
  <property fmtid="{D5CDD505-2E9C-101B-9397-08002B2CF9AE}" pid="6" name="ContentTypeId">
    <vt:lpwstr>0x0101009CBE4D626231204A8A7FDE94819CCBAB</vt:lpwstr>
  </property>
</Properties>
</file>